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3979" documentId="11_0B1D56BE9CDCCE836B02CE7A5FB0D4A9BBFD1C62" xr6:coauthVersionLast="47" xr6:coauthVersionMax="47" xr10:uidLastSave="{0E080E8D-C05D-4495-86F7-8EC57205CD84}"/>
  <bookViews>
    <workbookView xWindow="240" yWindow="105" windowWidth="14805" windowHeight="8010" firstSheet="6" activeTab="5" xr2:uid="{00000000-000D-0000-FFFF-FFFF00000000}"/>
  </bookViews>
  <sheets>
    <sheet name="Prajwal" sheetId="1" r:id="rId1"/>
    <sheet name="Interest" sheetId="2" r:id="rId2"/>
    <sheet name="Sheet1" sheetId="3" r:id="rId3"/>
    <sheet name="Sheshadri" sheetId="12" r:id="rId4"/>
    <sheet name="Ragihalli" sheetId="13" r:id="rId5"/>
    <sheet name="Maintainance - Jan 2026" sheetId="8" r:id="rId6"/>
    <sheet name="Silicon Prime Data" sheetId="11" r:id="rId7"/>
    <sheet name="Missing Payments" sheetId="14" r:id="rId8"/>
    <sheet name="Vaasu" sheetId="5" r:id="rId9"/>
    <sheet name="Monthly Expense" sheetId="6" r:id="rId10"/>
    <sheet name="V" sheetId="7" r:id="rId11"/>
    <sheet name="Sheet2" sheetId="10" r:id="rId12"/>
    <sheet name="Padmini" sheetId="9" r:id="rId13"/>
    <sheet name="Ragihalli transaction My Accoun" sheetId="15" r:id="rId14"/>
  </sheets>
  <definedNames>
    <definedName name="_xlnm._FilterDatabase" localSheetId="5" hidden="1">'Maintainance - Jan 2026'!$A$1:$F$59</definedName>
  </definedNames>
  <calcPr calcId="191028"/>
  <pivotCaches>
    <pivotCache cacheId="34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C5" i="11"/>
  <c r="C6" i="1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4" i="11"/>
  <c r="C8" i="10"/>
  <c r="C7" i="10"/>
  <c r="H46" i="1"/>
  <c r="H51" i="1"/>
  <c r="H54" i="1"/>
  <c r="D13" i="5"/>
  <c r="C16" i="2"/>
  <c r="B16" i="2"/>
  <c r="D46" i="1"/>
  <c r="I2" i="1"/>
  <c r="I3" i="1" a="1"/>
  <c r="I3" i="1"/>
  <c r="I4" i="1" a="1"/>
  <c r="I4" i="1"/>
  <c r="I5" i="1"/>
  <c r="I6" i="1"/>
  <c r="I7" i="1"/>
  <c r="F17" i="1"/>
  <c r="E46" i="1"/>
  <c r="C14" i="3"/>
  <c r="B14" i="3"/>
  <c r="C15" i="3"/>
  <c r="F15" i="1"/>
  <c r="F16" i="1"/>
  <c r="F9" i="1"/>
  <c r="F12" i="1"/>
  <c r="F13" i="1"/>
  <c r="F14" i="1"/>
  <c r="F8" i="1"/>
  <c r="F46" i="1"/>
  <c r="G47" i="1"/>
  <c r="H47" i="1"/>
  <c r="I8" i="1"/>
  <c r="I9" i="1"/>
  <c r="I10" i="1"/>
  <c r="I11" i="1"/>
  <c r="I12" i="1"/>
  <c r="I13" i="1"/>
  <c r="I14" i="1"/>
  <c r="I15" i="1"/>
  <c r="I16" i="1"/>
  <c r="I17" i="1"/>
  <c r="I18" i="1"/>
  <c r="C1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<sst xmlns="http://schemas.openxmlformats.org/spreadsheetml/2006/main" count="866" uniqueCount="266">
  <si>
    <t>Transfer Date</t>
  </si>
  <si>
    <t>Amount Recieved</t>
  </si>
  <si>
    <t>Amount Paid</t>
  </si>
  <si>
    <t>Mobile EMI Expected</t>
  </si>
  <si>
    <t>Mobile</t>
  </si>
  <si>
    <t>Car EMI paid</t>
  </si>
  <si>
    <t>Car EMI Expected</t>
  </si>
  <si>
    <t>Amount Expected</t>
  </si>
  <si>
    <t>Net Balance</t>
  </si>
  <si>
    <t>Desc</t>
  </si>
  <si>
    <t>Mobile purchase</t>
  </si>
  <si>
    <t>Car24 Down payment 25k</t>
  </si>
  <si>
    <t>Car24 Down payment(25k paid 7060 refunded)</t>
  </si>
  <si>
    <t>Vehicle repair</t>
  </si>
  <si>
    <t>FastTag recharge 1k</t>
  </si>
  <si>
    <t>Paid to Diana</t>
  </si>
  <si>
    <t>Paid by Valli chikkamma</t>
  </si>
  <si>
    <t>Paid to Tulasiram</t>
  </si>
  <si>
    <t>800 processing charge</t>
  </si>
  <si>
    <t>Paid to Tulasiram hdfc+payzap account</t>
  </si>
  <si>
    <t>1900 processing charge</t>
  </si>
  <si>
    <t>130 Tulasiram 60 Prajwal</t>
  </si>
  <si>
    <t xml:space="preserve">6000 Processing charge </t>
  </si>
  <si>
    <t>processing charge for all the loan (Credit card personal loan )</t>
  </si>
  <si>
    <t>Transferred to Prajwal account</t>
  </si>
  <si>
    <t xml:space="preserve">Transferred to Prajwal account paid by </t>
  </si>
  <si>
    <t>Pending</t>
  </si>
  <si>
    <t>Description</t>
  </si>
  <si>
    <t>Balance Amount</t>
  </si>
  <si>
    <t xml:space="preserve">Sridhara Marriage balance (TBD) </t>
  </si>
  <si>
    <t>Paid to college (Satvik)</t>
  </si>
  <si>
    <t>Sudhi madve cash</t>
  </si>
  <si>
    <t xml:space="preserve">Toll+petrol Sudhi madve </t>
  </si>
  <si>
    <t>Bus booking ( return trip ignored)</t>
  </si>
  <si>
    <t>Return trip</t>
  </si>
  <si>
    <t>Gpay (bus booking  Kasargodu)</t>
  </si>
  <si>
    <t xml:space="preserve">Gpay </t>
  </si>
  <si>
    <t>jewellery</t>
  </si>
  <si>
    <t>Deposited to my account</t>
  </si>
  <si>
    <t>Coconut oil charges</t>
  </si>
  <si>
    <t>Petrol</t>
  </si>
  <si>
    <t>Water purifier</t>
  </si>
  <si>
    <t>Vasudev</t>
  </si>
  <si>
    <t>Can bank tranfer</t>
  </si>
  <si>
    <t>reddappa acc</t>
  </si>
  <si>
    <t>Total interest 100*2*16</t>
  </si>
  <si>
    <t>Date</t>
  </si>
  <si>
    <t>Perticular</t>
  </si>
  <si>
    <t>Amount</t>
  </si>
  <si>
    <t>Hospital</t>
  </si>
  <si>
    <t>Hospital payment</t>
  </si>
  <si>
    <t>Antibiotics</t>
  </si>
  <si>
    <t>Brain fever test</t>
  </si>
  <si>
    <t>spinal liquid test</t>
  </si>
  <si>
    <t>Bipap machine rent 3 month</t>
  </si>
  <si>
    <t>Air bed</t>
  </si>
  <si>
    <t>Knee belt</t>
  </si>
  <si>
    <t>Vijayasri hospital</t>
  </si>
  <si>
    <t>Ambulance to Ragihalli</t>
  </si>
  <si>
    <t>Ambulance to hospital 4 trip,vijayasri to old age</t>
  </si>
  <si>
    <t>Krishnan 2 times, 2 time Suresh consulation</t>
  </si>
  <si>
    <t>Medicine at Nano</t>
  </si>
  <si>
    <t>Insurance for 10 years ( 8000 to 15k) avg</t>
  </si>
  <si>
    <t>Aurvedi medicine</t>
  </si>
  <si>
    <t>3 month nursing charges</t>
  </si>
  <si>
    <t>medicine and nursing expense. Pdf available</t>
  </si>
  <si>
    <t>Ragihalli to kalasa to Shimogga ambulance</t>
  </si>
  <si>
    <t>Shimogga to bangalore</t>
  </si>
  <si>
    <t>Antibiotics in nursing center</t>
  </si>
  <si>
    <t>Vaikunta samaradhane uta</t>
  </si>
  <si>
    <t>Grocery</t>
  </si>
  <si>
    <t>Puja items</t>
  </si>
  <si>
    <t>rituals and batru chanrges 11500 3 days,12000 9 and 10th</t>
  </si>
  <si>
    <t xml:space="preserve">Vaikunta samaradhane items </t>
  </si>
  <si>
    <t>Maasika</t>
  </si>
  <si>
    <t>Sheshappa Advance</t>
  </si>
  <si>
    <t>Airbed</t>
  </si>
  <si>
    <t>Bhatru 1 day</t>
  </si>
  <si>
    <t>Ravi advance</t>
  </si>
  <si>
    <t>Blood test</t>
  </si>
  <si>
    <t>Batru    3day</t>
  </si>
  <si>
    <t>Mane kandaya</t>
  </si>
  <si>
    <t>To me</t>
  </si>
  <si>
    <t>paint</t>
  </si>
  <si>
    <t>Medicine</t>
  </si>
  <si>
    <t>Batru 9th</t>
  </si>
  <si>
    <t xml:space="preserve">Dinesh advance </t>
  </si>
  <si>
    <t>Batru 2 day and 15k expense</t>
  </si>
  <si>
    <t>Batru 10th day</t>
  </si>
  <si>
    <t>Abmulance</t>
  </si>
  <si>
    <t>Batru 11 day</t>
  </si>
  <si>
    <t>Blood bank</t>
  </si>
  <si>
    <t>Batru 2 12th day</t>
  </si>
  <si>
    <t>Prabhakar kale machine online</t>
  </si>
  <si>
    <t>Ambulance</t>
  </si>
  <si>
    <t>Batru 3 14th day</t>
  </si>
  <si>
    <t>Prabhakar kale machine cash</t>
  </si>
  <si>
    <t>Ambulance Driver and nurse</t>
  </si>
  <si>
    <t>grocerry</t>
  </si>
  <si>
    <t>Ambulance murali</t>
  </si>
  <si>
    <t>Adige batru</t>
  </si>
  <si>
    <t>To me (Hospital bill)</t>
  </si>
  <si>
    <t xml:space="preserve">Bagya </t>
  </si>
  <si>
    <t>Bandari</t>
  </si>
  <si>
    <t>Purohit</t>
  </si>
  <si>
    <t>Gift purchase</t>
  </si>
  <si>
    <t>Gift</t>
  </si>
  <si>
    <t>Misc</t>
  </si>
  <si>
    <t>To Shivaram for ritual items</t>
  </si>
  <si>
    <t>Cash to me</t>
  </si>
  <si>
    <t>Transaction</t>
  </si>
  <si>
    <t>Flat No</t>
  </si>
  <si>
    <t>Month</t>
  </si>
  <si>
    <t>Note</t>
  </si>
  <si>
    <t>Ramachandra</t>
  </si>
  <si>
    <t>T4</t>
  </si>
  <si>
    <t>Vimal</t>
  </si>
  <si>
    <t>F3</t>
  </si>
  <si>
    <t>Prathibha</t>
  </si>
  <si>
    <t>F5</t>
  </si>
  <si>
    <t>Dayanand</t>
  </si>
  <si>
    <t>G5</t>
  </si>
  <si>
    <t>Asha guruvappa</t>
  </si>
  <si>
    <t>G6</t>
  </si>
  <si>
    <t>Marshal</t>
  </si>
  <si>
    <t>S2</t>
  </si>
  <si>
    <t>Amith</t>
  </si>
  <si>
    <t>T3</t>
  </si>
  <si>
    <t>Raghu</t>
  </si>
  <si>
    <t>T5</t>
  </si>
  <si>
    <t>Prasanna</t>
  </si>
  <si>
    <t>T6</t>
  </si>
  <si>
    <t>Balu</t>
  </si>
  <si>
    <t>F1</t>
  </si>
  <si>
    <t>Adhikari</t>
  </si>
  <si>
    <t>T1</t>
  </si>
  <si>
    <t>Satish</t>
  </si>
  <si>
    <t>S5</t>
  </si>
  <si>
    <t>Kavya</t>
  </si>
  <si>
    <t>F2</t>
  </si>
  <si>
    <t>Prabhat Kiran</t>
  </si>
  <si>
    <t>F4</t>
  </si>
  <si>
    <t>Bibi Ayesha</t>
  </si>
  <si>
    <t>S1</t>
  </si>
  <si>
    <t>Abhay</t>
  </si>
  <si>
    <t>G4</t>
  </si>
  <si>
    <t>Rupesh</t>
  </si>
  <si>
    <t>S4</t>
  </si>
  <si>
    <t>Raju</t>
  </si>
  <si>
    <t>G3</t>
  </si>
  <si>
    <t>Syed</t>
  </si>
  <si>
    <t>S6</t>
  </si>
  <si>
    <t>Gurpreet</t>
  </si>
  <si>
    <t>T2</t>
  </si>
  <si>
    <t>Sudha</t>
  </si>
  <si>
    <t>S3</t>
  </si>
  <si>
    <t>5k On 15/10</t>
  </si>
  <si>
    <t>Gangadhar</t>
  </si>
  <si>
    <t>G1</t>
  </si>
  <si>
    <t>Paid 5k from march and April</t>
  </si>
  <si>
    <t>Nemath Khan</t>
  </si>
  <si>
    <t>F6</t>
  </si>
  <si>
    <t>laxmikanth</t>
  </si>
  <si>
    <t>G2</t>
  </si>
  <si>
    <t>Rukmani</t>
  </si>
  <si>
    <t>Same date 2 payments</t>
  </si>
  <si>
    <t>Paid 10k on Aug for Apr,May, June and August</t>
  </si>
  <si>
    <t>5k On 09/11</t>
  </si>
  <si>
    <t>10 for may june july aug</t>
  </si>
  <si>
    <t xml:space="preserve">Paid 5k in july </t>
  </si>
  <si>
    <t>5k on July 27th</t>
  </si>
  <si>
    <t xml:space="preserve">Prasann </t>
  </si>
  <si>
    <t>Arjun</t>
  </si>
  <si>
    <t>Paid 5k from June and July</t>
  </si>
  <si>
    <t>5k on July</t>
  </si>
  <si>
    <t>5k for July and Aug 2025</t>
  </si>
  <si>
    <t xml:space="preserve">Amith </t>
  </si>
  <si>
    <t>s4</t>
  </si>
  <si>
    <t>5k for Sept and Aug 2025</t>
  </si>
  <si>
    <t>Laxmikanth</t>
  </si>
  <si>
    <t>Sept and october 2025</t>
  </si>
  <si>
    <t>arjun</t>
  </si>
  <si>
    <t>Paid 7k on Nov</t>
  </si>
  <si>
    <t>Priya Vinod</t>
  </si>
  <si>
    <t>Vinod</t>
  </si>
  <si>
    <t>Bescom</t>
  </si>
  <si>
    <t>Pratibha</t>
  </si>
  <si>
    <t>Main</t>
  </si>
  <si>
    <t>Shashikala</t>
  </si>
  <si>
    <t>Paid 6k on Jan for bescom</t>
  </si>
  <si>
    <t>Bescom 3 month</t>
  </si>
  <si>
    <t>Maintanace 3 month Nov Dec Jan</t>
  </si>
  <si>
    <t>Namath</t>
  </si>
  <si>
    <t>Sum of Amount</t>
  </si>
  <si>
    <t>G1 1 October</t>
  </si>
  <si>
    <t>Abhay June</t>
  </si>
  <si>
    <t>Syed May</t>
  </si>
  <si>
    <t>Ramachandra 6 month pending</t>
  </si>
  <si>
    <t>(blank)</t>
  </si>
  <si>
    <t>Grand Total</t>
  </si>
  <si>
    <t>As on Dec 31 2025</t>
  </si>
  <si>
    <t>Status</t>
  </si>
  <si>
    <t>4500 Nov missing</t>
  </si>
  <si>
    <t>2000 Nov missing</t>
  </si>
  <si>
    <t>4500 Nov Missing</t>
  </si>
  <si>
    <t>4500 Bescom Missing</t>
  </si>
  <si>
    <t>4500 Shortage</t>
  </si>
  <si>
    <t>6000 BESCOM paid on Jan 2026</t>
  </si>
  <si>
    <t>9000 pending maintanance 5000 Nov-Dec and bescom 4000.Cleared on Jan 2026</t>
  </si>
  <si>
    <t>9500 Pending after deducting Fed 2025 on March payment.</t>
  </si>
  <si>
    <t>As on Jan  31 2026</t>
  </si>
  <si>
    <t>6000 missing</t>
  </si>
  <si>
    <t>3500 shortage</t>
  </si>
  <si>
    <t>9000 shortage but paid 6k on feb 2nd</t>
  </si>
  <si>
    <t>2000 missing</t>
  </si>
  <si>
    <t>4500 pending but paid feb 5k so  2k pending</t>
  </si>
  <si>
    <t>Paid</t>
  </si>
  <si>
    <t>Recieved</t>
  </si>
  <si>
    <t>15+70+25+50+9</t>
  </si>
  <si>
    <t>Item</t>
  </si>
  <si>
    <t>Milk/Curd</t>
  </si>
  <si>
    <t>27*30+29*16</t>
  </si>
  <si>
    <t>Flower</t>
  </si>
  <si>
    <t>50*2*4</t>
  </si>
  <si>
    <t>Maintainance</t>
  </si>
  <si>
    <t>Maid</t>
  </si>
  <si>
    <t>DayCare</t>
  </si>
  <si>
    <t>School/Summer camp</t>
  </si>
  <si>
    <t>Term insurance</t>
  </si>
  <si>
    <t>Lic</t>
  </si>
  <si>
    <t>44200/12- Chiranth 66700/12 3800+ 5500</t>
  </si>
  <si>
    <t>Bike 500*3 Car 1 trip 7500 toll 1200</t>
  </si>
  <si>
    <t>Housing Loan standard</t>
  </si>
  <si>
    <t>grocery</t>
  </si>
  <si>
    <t>4000 Dmart 2000 fruit 2000 local grocerry</t>
  </si>
  <si>
    <t>d loan</t>
  </si>
  <si>
    <t>260000/3</t>
  </si>
  <si>
    <t>Gas</t>
  </si>
  <si>
    <t>Lunch and other</t>
  </si>
  <si>
    <t>Aditya life insurance</t>
  </si>
  <si>
    <t>SL No</t>
  </si>
  <si>
    <t>LBS replacement and service including GST bill</t>
  </si>
  <si>
    <t>Completed</t>
  </si>
  <si>
    <t>MRT seal charges by JE/AE</t>
  </si>
  <si>
    <t>Temparay connection (6k wire +4k Bescom charge)</t>
  </si>
  <si>
    <r>
      <rPr>
        <sz val="11"/>
        <color rgb="FF000000"/>
        <rFont val="Aptos Narrow"/>
        <scheme val="minor"/>
      </rPr>
      <t xml:space="preserve">Transformer service(Oil change, greasing, service) </t>
    </r>
    <r>
      <rPr>
        <b/>
        <sz val="11"/>
        <color rgb="FF000000"/>
        <rFont val="Aptos Narrow"/>
        <scheme val="minor"/>
      </rPr>
      <t xml:space="preserve">Estimated </t>
    </r>
  </si>
  <si>
    <r>
      <rPr>
        <sz val="11"/>
        <color rgb="FF000000"/>
        <rFont val="Aptos Narrow"/>
        <scheme val="minor"/>
      </rPr>
      <t xml:space="preserve">Transformer and LBS board covering with sheet. ( Sheet should be 4ft above the transformar so proper ventilation maintained) </t>
    </r>
    <r>
      <rPr>
        <b/>
        <sz val="11"/>
        <color rgb="FF000000"/>
        <rFont val="Aptos Narrow"/>
        <scheme val="minor"/>
      </rPr>
      <t>Estimated</t>
    </r>
  </si>
  <si>
    <t>Total</t>
  </si>
  <si>
    <t>Per flat</t>
  </si>
  <si>
    <t>Debit</t>
  </si>
  <si>
    <t>Credit</t>
  </si>
  <si>
    <t>gold sell</t>
  </si>
  <si>
    <t>From/To</t>
  </si>
  <si>
    <t>Purpose</t>
  </si>
  <si>
    <t>Prasad adike</t>
  </si>
  <si>
    <t>Sold 200kg arekanut</t>
  </si>
  <si>
    <t>Mamcos</t>
  </si>
  <si>
    <t>clear the loan</t>
  </si>
  <si>
    <t>Mukund</t>
  </si>
  <si>
    <t>Motor repair</t>
  </si>
  <si>
    <t>Raheem</t>
  </si>
  <si>
    <t>8 mute coffee at 8450</t>
  </si>
  <si>
    <t>Shivaram</t>
  </si>
  <si>
    <t>Kelasadavara amount</t>
  </si>
  <si>
    <t>Shridar</t>
  </si>
  <si>
    <t>Kale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</si>
</sst>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₹-44B]#,##0.00"/>
    <numFmt numFmtId="165" formatCode="[$-14009]dd\-mm\-yyyy;@"/>
    <numFmt numFmtId="166" formatCode="dd/mm/yyyy;@"/>
    <numFmt numFmtId="167" formatCode="[$-409]mmm\-yy;@"/>
    <numFmt numFmtId="168" formatCode="mm/dd/yy;@"/>
  </numFmts>
  <fonts count="1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9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sz val="11"/>
      <color rgb="FF242424"/>
      <name val="Aptos Narrow"/>
      <charset val="1"/>
    </font>
    <font>
      <sz val="11"/>
      <color rgb="FF4472C4"/>
      <name val="Aptos Narrow"/>
      <family val="2"/>
      <scheme val="minor"/>
    </font>
    <font>
      <sz val="11"/>
      <color rgb="FF33333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2" xfId="0" applyNumberFormat="1" applyFont="1" applyBorder="1"/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5" fontId="1" fillId="0" borderId="0" xfId="0" applyNumberFormat="1" applyFont="1"/>
    <xf numFmtId="164" fontId="1" fillId="0" borderId="0" xfId="0" applyNumberFormat="1" applyFont="1"/>
    <xf numFmtId="165" fontId="5" fillId="0" borderId="1" xfId="0" applyNumberFormat="1" applyFont="1" applyBorder="1" applyAlignment="1">
      <alignment horizontal="right"/>
    </xf>
    <xf numFmtId="164" fontId="5" fillId="0" borderId="2" xfId="0" applyNumberFormat="1" applyFont="1" applyBorder="1" applyAlignment="1">
      <alignment horizontal="right"/>
    </xf>
    <xf numFmtId="0" fontId="2" fillId="0" borderId="0" xfId="0" applyFont="1"/>
    <xf numFmtId="14" fontId="0" fillId="0" borderId="0" xfId="0" applyNumberFormat="1"/>
    <xf numFmtId="0" fontId="6" fillId="0" borderId="0" xfId="0" applyFont="1"/>
    <xf numFmtId="165" fontId="0" fillId="0" borderId="5" xfId="0" applyNumberFormat="1" applyBorder="1"/>
    <xf numFmtId="164" fontId="3" fillId="0" borderId="0" xfId="0" applyNumberFormat="1" applyFont="1"/>
    <xf numFmtId="164" fontId="2" fillId="0" borderId="6" xfId="0" applyNumberFormat="1" applyFont="1" applyBorder="1"/>
    <xf numFmtId="165" fontId="1" fillId="0" borderId="1" xfId="0" applyNumberFormat="1" applyFont="1" applyBorder="1"/>
    <xf numFmtId="164" fontId="4" fillId="0" borderId="2" xfId="0" applyNumberFormat="1" applyFont="1" applyBorder="1"/>
    <xf numFmtId="164" fontId="1" fillId="0" borderId="3" xfId="0" applyNumberFormat="1" applyFont="1" applyBorder="1"/>
    <xf numFmtId="165" fontId="0" fillId="0" borderId="8" xfId="0" applyNumberFormat="1" applyBorder="1"/>
    <xf numFmtId="164" fontId="0" fillId="0" borderId="6" xfId="0" applyNumberFormat="1" applyBorder="1"/>
    <xf numFmtId="164" fontId="1" fillId="0" borderId="6" xfId="0" applyNumberFormat="1" applyFont="1" applyBorder="1"/>
    <xf numFmtId="164" fontId="3" fillId="0" borderId="6" xfId="0" applyNumberFormat="1" applyFont="1" applyBorder="1"/>
    <xf numFmtId="165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1" fillId="0" borderId="3" xfId="0" applyNumberFormat="1" applyFont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14" fontId="1" fillId="0" borderId="0" xfId="0" applyNumberFormat="1" applyFont="1"/>
    <xf numFmtId="164" fontId="5" fillId="0" borderId="0" xfId="0" applyNumberFormat="1" applyFont="1"/>
    <xf numFmtId="164" fontId="2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right"/>
    </xf>
    <xf numFmtId="0" fontId="0" fillId="0" borderId="4" xfId="0" applyBorder="1" applyAlignment="1">
      <alignment horizontal="left" wrapText="1"/>
    </xf>
    <xf numFmtId="166" fontId="0" fillId="0" borderId="0" xfId="0" applyNumberFormat="1"/>
    <xf numFmtId="167" fontId="0" fillId="0" borderId="0" xfId="0" applyNumberFormat="1"/>
    <xf numFmtId="0" fontId="7" fillId="0" borderId="0" xfId="0" applyFont="1"/>
    <xf numFmtId="0" fontId="7" fillId="0" borderId="0" xfId="0" applyFont="1" applyAlignment="1">
      <alignment wrapText="1"/>
    </xf>
    <xf numFmtId="0" fontId="9" fillId="0" borderId="0" xfId="0" applyFont="1"/>
    <xf numFmtId="0" fontId="0" fillId="0" borderId="0" xfId="0" pivotButton="1"/>
    <xf numFmtId="0" fontId="10" fillId="0" borderId="0" xfId="0" applyFont="1"/>
    <xf numFmtId="0" fontId="11" fillId="0" borderId="0" xfId="0" applyFont="1"/>
    <xf numFmtId="168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[Prajwal.xlsx]Silicon Prime Data!PivotTable1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'Silicon Prime Data'!$B$3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'Silicon Prime Data'!$A$4:$A$29</c:f>
              <c:strCache>
                <c:ptCount val="25"/>
                <c:pt idx="0">
                  <c:v>F1</c:v>
                </c:pt>
                <c:pt idx="1">
                  <c:v>F2</c:v>
                </c:pt>
                <c:pt idx="2">
                  <c:v>F3</c:v>
                </c:pt>
                <c:pt idx="3">
                  <c:v>F4</c:v>
                </c:pt>
                <c:pt idx="4">
                  <c:v>F5</c:v>
                </c:pt>
                <c:pt idx="5">
                  <c:v>F6</c:v>
                </c:pt>
                <c:pt idx="6">
                  <c:v>G1</c:v>
                </c:pt>
                <c:pt idx="7">
                  <c:v>G2</c:v>
                </c:pt>
                <c:pt idx="8">
                  <c:v>G3</c:v>
                </c:pt>
                <c:pt idx="9">
                  <c:v>G4</c:v>
                </c:pt>
                <c:pt idx="10">
                  <c:v>G5</c:v>
                </c:pt>
                <c:pt idx="11">
                  <c:v>G6</c:v>
                </c:pt>
                <c:pt idx="12">
                  <c:v>S1</c:v>
                </c:pt>
                <c:pt idx="13">
                  <c:v>S2</c:v>
                </c:pt>
                <c:pt idx="14">
                  <c:v>S3</c:v>
                </c:pt>
                <c:pt idx="15">
                  <c:v>S4</c:v>
                </c:pt>
                <c:pt idx="16">
                  <c:v>S5</c:v>
                </c:pt>
                <c:pt idx="17">
                  <c:v>S6</c:v>
                </c:pt>
                <c:pt idx="18">
                  <c:v>T1</c:v>
                </c:pt>
                <c:pt idx="19">
                  <c:v>T2</c:v>
                </c:pt>
                <c:pt idx="20">
                  <c:v>T3</c:v>
                </c:pt>
                <c:pt idx="21">
                  <c:v>T4</c:v>
                </c:pt>
                <c:pt idx="22">
                  <c:v>T5</c:v>
                </c:pt>
                <c:pt idx="23">
                  <c:v>T6</c:v>
                </c:pt>
                <c:pt idx="24">
                  <c:v>(blank)</c:v>
                </c:pt>
              </c:strCache>
            </c:strRef>
          </c:cat>
          <c:val>
            <c:numRef>
              <c:f>'Silicon Prime Data'!$B$4:$B$29</c:f>
              <c:numCache>
                <c:formatCode>General</c:formatCode>
                <c:ptCount val="25"/>
                <c:pt idx="0">
                  <c:v>33500</c:v>
                </c:pt>
                <c:pt idx="1">
                  <c:v>33500</c:v>
                </c:pt>
                <c:pt idx="2">
                  <c:v>33500</c:v>
                </c:pt>
                <c:pt idx="3">
                  <c:v>27500</c:v>
                </c:pt>
                <c:pt idx="4">
                  <c:v>33500</c:v>
                </c:pt>
                <c:pt idx="5">
                  <c:v>30000</c:v>
                </c:pt>
                <c:pt idx="6">
                  <c:v>29000</c:v>
                </c:pt>
                <c:pt idx="7">
                  <c:v>24500</c:v>
                </c:pt>
                <c:pt idx="8">
                  <c:v>33500</c:v>
                </c:pt>
                <c:pt idx="9">
                  <c:v>33500</c:v>
                </c:pt>
                <c:pt idx="10">
                  <c:v>33500</c:v>
                </c:pt>
                <c:pt idx="11">
                  <c:v>31500</c:v>
                </c:pt>
                <c:pt idx="12">
                  <c:v>33500</c:v>
                </c:pt>
                <c:pt idx="13">
                  <c:v>33500</c:v>
                </c:pt>
                <c:pt idx="14">
                  <c:v>33500</c:v>
                </c:pt>
                <c:pt idx="15">
                  <c:v>33500</c:v>
                </c:pt>
                <c:pt idx="16">
                  <c:v>33500</c:v>
                </c:pt>
                <c:pt idx="17">
                  <c:v>34000</c:v>
                </c:pt>
                <c:pt idx="18">
                  <c:v>33500</c:v>
                </c:pt>
                <c:pt idx="19">
                  <c:v>33500</c:v>
                </c:pt>
                <c:pt idx="20">
                  <c:v>33500</c:v>
                </c:pt>
                <c:pt idx="21">
                  <c:v>26500</c:v>
                </c:pt>
                <c:pt idx="22">
                  <c:v>33500</c:v>
                </c:pt>
                <c:pt idx="23">
                  <c:v>33500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A9-484A-9975-8F2B69866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1326855"/>
        <c:axId val="1661328903"/>
      </c:barChart>
      <c:catAx>
        <c:axId val="1661326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28903"/>
        <c:crosses val="autoZero"/>
        <c:auto val="1"/>
        <c:lblAlgn val="ctr"/>
        <c:lblOffset val="100"/>
        <c:noMultiLvlLbl val="0"/>
      </c:catAx>
      <c:valAx>
        <c:axId val="1661328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326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85725</xdr:colOff>
      <xdr:row>1</xdr:row>
      <xdr:rowOff>85725</xdr:rowOff>
    </xdr:from>
    <xdr:to>
      <xdr:col>26</xdr:col>
      <xdr:colOff>266700</xdr:colOff>
      <xdr:row>28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82E1E-BDC8-944B-C796-4CE22A1A79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6.013481134258" createdVersion="8" refreshedVersion="8" minRefreshableVersion="3" recordCount="274" xr:uid="{A3F8E215-1E7A-47DC-B57B-5AB39596AD50}">
  <cacheSource type="worksheet">
    <worksheetSource ref="A1:F1048576" sheet="Maintainance - Jan 2026"/>
  </cacheSource>
  <cacheFields count="6">
    <cacheField name="Date" numFmtId="166">
      <sharedItems containsNonDate="0" containsDate="1" containsString="0" containsBlank="1" minDate="2025-03-01T00:00:00" maxDate="2026-02-01T00:00:00"/>
    </cacheField>
    <cacheField name="Transaction" numFmtId="0">
      <sharedItems containsBlank="1"/>
    </cacheField>
    <cacheField name="Flat No" numFmtId="0">
      <sharedItems containsBlank="1" count="25">
        <s v="T4"/>
        <s v="F3"/>
        <s v="F5"/>
        <s v="G5"/>
        <s v="G6"/>
        <s v="S2"/>
        <s v="T3"/>
        <s v="T5"/>
        <s v="T6"/>
        <s v="F1"/>
        <s v="T1"/>
        <s v="S5"/>
        <s v="F2"/>
        <s v="F4"/>
        <s v="S1"/>
        <s v="G4"/>
        <s v="S4"/>
        <s v="G3"/>
        <s v="S6"/>
        <s v="T2"/>
        <s v="S3"/>
        <s v="G1"/>
        <s v="F6"/>
        <s v="G2"/>
        <m/>
      </sharedItems>
    </cacheField>
    <cacheField name="Amount" numFmtId="0">
      <sharedItems containsString="0" containsBlank="1" containsNumber="1" containsInteger="1" minValue="2000" maxValue="5000"/>
    </cacheField>
    <cacheField name="Month" numFmtId="167">
      <sharedItems containsNonDate="0" containsDate="1" containsString="0" containsBlank="1" minDate="2025-02-01T00:00:00" maxDate="2026-01-08T00:00:00"/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">
  <r>
    <d v="2025-03-19T00:00:00"/>
    <s v="Ramachandra"/>
    <x v="0"/>
    <n v="2500"/>
    <d v="2025-02-01T00:00:00"/>
    <m/>
  </r>
  <r>
    <d v="2025-03-01T00:00:00"/>
    <s v="Vimal"/>
    <x v="1"/>
    <n v="2500"/>
    <d v="2025-03-01T00:00:00"/>
    <m/>
  </r>
  <r>
    <d v="2025-03-01T00:00:00"/>
    <s v="Prathibha"/>
    <x v="2"/>
    <n v="2500"/>
    <d v="2025-03-01T00:00:00"/>
    <m/>
  </r>
  <r>
    <d v="2025-03-01T00:00:00"/>
    <s v="Dayanand"/>
    <x v="3"/>
    <n v="2500"/>
    <d v="2025-03-01T00:00:00"/>
    <m/>
  </r>
  <r>
    <d v="2025-03-01T00:00:00"/>
    <s v="Asha guruvappa"/>
    <x v="4"/>
    <n v="2500"/>
    <d v="2025-03-01T00:00:00"/>
    <m/>
  </r>
  <r>
    <d v="2025-03-01T00:00:00"/>
    <s v="Marshal"/>
    <x v="5"/>
    <n v="2500"/>
    <d v="2025-03-01T00:00:00"/>
    <m/>
  </r>
  <r>
    <d v="2025-03-01T00:00:00"/>
    <s v="Amith"/>
    <x v="6"/>
    <n v="2500"/>
    <d v="2025-03-01T00:00:00"/>
    <m/>
  </r>
  <r>
    <d v="2025-03-02T00:00:00"/>
    <s v="Raghu"/>
    <x v="7"/>
    <n v="2500"/>
    <d v="2025-03-01T00:00:00"/>
    <m/>
  </r>
  <r>
    <d v="2025-03-02T00:00:00"/>
    <s v="Prasanna"/>
    <x v="8"/>
    <n v="2500"/>
    <d v="2025-03-01T00:00:00"/>
    <m/>
  </r>
  <r>
    <d v="2025-03-04T00:00:00"/>
    <s v="Balu"/>
    <x v="9"/>
    <n v="2500"/>
    <d v="2025-03-01T00:00:00"/>
    <m/>
  </r>
  <r>
    <d v="2025-03-07T00:00:00"/>
    <s v="Adhikari"/>
    <x v="10"/>
    <n v="2500"/>
    <d v="2025-03-01T00:00:00"/>
    <m/>
  </r>
  <r>
    <d v="2025-03-09T00:00:00"/>
    <s v="Satish"/>
    <x v="11"/>
    <n v="2500"/>
    <d v="2025-03-01T00:00:00"/>
    <m/>
  </r>
  <r>
    <d v="2025-03-10T00:00:00"/>
    <s v="Kavya"/>
    <x v="12"/>
    <n v="2500"/>
    <d v="2025-03-01T00:00:00"/>
    <m/>
  </r>
  <r>
    <d v="2025-03-10T00:00:00"/>
    <s v="Prabhat Kiran"/>
    <x v="13"/>
    <n v="2500"/>
    <d v="2025-03-01T00:00:00"/>
    <m/>
  </r>
  <r>
    <d v="2025-03-10T00:00:00"/>
    <s v="Bibi Ayesha"/>
    <x v="14"/>
    <n v="2500"/>
    <d v="2025-03-01T00:00:00"/>
    <m/>
  </r>
  <r>
    <d v="2025-03-12T00:00:00"/>
    <s v="Abhay"/>
    <x v="15"/>
    <n v="2500"/>
    <d v="2025-03-01T00:00:00"/>
    <m/>
  </r>
  <r>
    <d v="2025-03-12T00:00:00"/>
    <s v="Rupesh"/>
    <x v="16"/>
    <n v="2500"/>
    <d v="2025-03-01T00:00:00"/>
    <m/>
  </r>
  <r>
    <d v="2025-03-13T00:00:00"/>
    <s v="Raju"/>
    <x v="17"/>
    <n v="2500"/>
    <d v="2025-03-01T00:00:00"/>
    <m/>
  </r>
  <r>
    <d v="2025-03-13T00:00:00"/>
    <s v="Syed"/>
    <x v="18"/>
    <n v="2500"/>
    <d v="2025-03-01T00:00:00"/>
    <m/>
  </r>
  <r>
    <d v="2025-03-13T00:00:00"/>
    <s v="Gurpreet"/>
    <x v="19"/>
    <n v="2500"/>
    <d v="2025-03-01T00:00:00"/>
    <m/>
  </r>
  <r>
    <d v="2025-03-29T00:00:00"/>
    <s v="Sudha"/>
    <x v="20"/>
    <n v="2500"/>
    <d v="2025-03-01T00:00:00"/>
    <m/>
  </r>
  <r>
    <d v="2025-10-15T00:00:00"/>
    <s v="Ramachandra"/>
    <x v="0"/>
    <n v="2500"/>
    <d v="2025-03-01T00:00:00"/>
    <s v="5k On 15/10"/>
  </r>
  <r>
    <d v="2025-04-01T00:00:00"/>
    <s v="Gangadhar"/>
    <x v="21"/>
    <n v="2500"/>
    <d v="2025-03-31T00:00:00"/>
    <s v="Paid 5k from march and April"/>
  </r>
  <r>
    <d v="2025-04-25T00:00:00"/>
    <s v="Nemath Khan"/>
    <x v="22"/>
    <n v="2500"/>
    <d v="2025-03-31T00:00:00"/>
    <m/>
  </r>
  <r>
    <d v="2025-04-25T00:00:00"/>
    <s v="laxmikanth"/>
    <x v="23"/>
    <n v="2500"/>
    <d v="2025-03-31T00:00:00"/>
    <m/>
  </r>
  <r>
    <d v="2025-03-31T00:00:00"/>
    <s v="Prasanna"/>
    <x v="8"/>
    <n v="2500"/>
    <d v="2025-04-01T00:00:00"/>
    <m/>
  </r>
  <r>
    <d v="2025-04-01T00:00:00"/>
    <s v="Prathibha"/>
    <x v="2"/>
    <n v="2500"/>
    <d v="2025-04-01T00:00:00"/>
    <m/>
  </r>
  <r>
    <d v="2025-04-01T00:00:00"/>
    <s v="Gangadhar"/>
    <x v="21"/>
    <n v="2500"/>
    <d v="2025-04-01T00:00:00"/>
    <s v="Paid 5k from march and April"/>
  </r>
  <r>
    <d v="2025-04-01T00:00:00"/>
    <s v="Asha guruvappa"/>
    <x v="4"/>
    <n v="2500"/>
    <d v="2025-04-01T00:00:00"/>
    <m/>
  </r>
  <r>
    <d v="2025-04-01T00:00:00"/>
    <s v="Marshal"/>
    <x v="5"/>
    <n v="2500"/>
    <d v="2025-04-01T00:00:00"/>
    <m/>
  </r>
  <r>
    <d v="2025-04-02T00:00:00"/>
    <s v="Dayanand"/>
    <x v="3"/>
    <n v="2500"/>
    <d v="2025-04-01T00:00:00"/>
    <m/>
  </r>
  <r>
    <d v="2025-04-03T00:00:00"/>
    <s v="Balu"/>
    <x v="9"/>
    <n v="2500"/>
    <d v="2025-04-01T00:00:00"/>
    <m/>
  </r>
  <r>
    <d v="2025-04-04T00:00:00"/>
    <s v="Prabhat Kiran"/>
    <x v="13"/>
    <n v="2500"/>
    <d v="2025-04-01T00:00:00"/>
    <m/>
  </r>
  <r>
    <d v="2025-04-07T00:00:00"/>
    <s v="Syed"/>
    <x v="18"/>
    <n v="2500"/>
    <d v="2025-04-01T00:00:00"/>
    <m/>
  </r>
  <r>
    <d v="2025-04-07T00:00:00"/>
    <s v="Adhikari"/>
    <x v="10"/>
    <n v="2500"/>
    <d v="2025-04-01T00:00:00"/>
    <m/>
  </r>
  <r>
    <d v="2025-04-08T00:00:00"/>
    <s v="Vimal"/>
    <x v="1"/>
    <n v="2500"/>
    <d v="2025-04-01T00:00:00"/>
    <m/>
  </r>
  <r>
    <d v="2025-04-09T00:00:00"/>
    <s v="Satish"/>
    <x v="11"/>
    <n v="2500"/>
    <d v="2025-04-01T00:00:00"/>
    <m/>
  </r>
  <r>
    <d v="2025-04-10T00:00:00"/>
    <s v="Kavya"/>
    <x v="12"/>
    <n v="2500"/>
    <d v="2025-04-01T00:00:00"/>
    <m/>
  </r>
  <r>
    <d v="2025-04-10T00:00:00"/>
    <s v="Bibi Ayesha"/>
    <x v="14"/>
    <n v="2500"/>
    <d v="2025-04-01T00:00:00"/>
    <m/>
  </r>
  <r>
    <d v="2025-04-10T00:00:00"/>
    <s v="Raghu"/>
    <x v="7"/>
    <n v="2500"/>
    <d v="2025-04-01T00:00:00"/>
    <m/>
  </r>
  <r>
    <d v="2025-04-11T00:00:00"/>
    <s v="Raju"/>
    <x v="17"/>
    <n v="2500"/>
    <d v="2025-04-01T00:00:00"/>
    <m/>
  </r>
  <r>
    <d v="2025-04-11T00:00:00"/>
    <s v="Rupesh"/>
    <x v="16"/>
    <n v="2500"/>
    <d v="2025-04-01T00:00:00"/>
    <m/>
  </r>
  <r>
    <d v="2025-04-13T00:00:00"/>
    <s v="Amith"/>
    <x v="6"/>
    <n v="2500"/>
    <d v="2025-04-01T00:00:00"/>
    <m/>
  </r>
  <r>
    <d v="2025-04-25T00:00:00"/>
    <s v="Nemath Khan"/>
    <x v="22"/>
    <n v="2500"/>
    <d v="2025-04-01T00:00:00"/>
    <m/>
  </r>
  <r>
    <d v="2025-04-25T00:00:00"/>
    <s v="laxmikanth"/>
    <x v="23"/>
    <n v="2500"/>
    <d v="2025-04-01T00:00:00"/>
    <m/>
  </r>
  <r>
    <d v="2025-04-26T00:00:00"/>
    <s v="Abhay"/>
    <x v="15"/>
    <n v="2500"/>
    <d v="2025-04-01T00:00:00"/>
    <m/>
  </r>
  <r>
    <d v="2025-05-31T00:00:00"/>
    <s v="Rukmani"/>
    <x v="20"/>
    <n v="2500"/>
    <d v="2025-04-01T00:00:00"/>
    <s v="Same date 2 payments"/>
  </r>
  <r>
    <d v="2025-08-08T00:00:00"/>
    <s v="Gurpreet"/>
    <x v="19"/>
    <n v="2500"/>
    <d v="2025-04-01T00:00:00"/>
    <s v="Paid 10k on Aug for Apr,May, June and August"/>
  </r>
  <r>
    <d v="2025-10-15T00:00:00"/>
    <s v="Ramachandra"/>
    <x v="0"/>
    <n v="2500"/>
    <d v="2025-04-01T00:00:00"/>
    <s v="5k On 15/10"/>
  </r>
  <r>
    <d v="2025-04-30T00:00:00"/>
    <s v="Amith"/>
    <x v="6"/>
    <n v="2500"/>
    <d v="2025-05-01T00:00:00"/>
    <m/>
  </r>
  <r>
    <d v="2025-05-01T00:00:00"/>
    <s v="Prathibha"/>
    <x v="2"/>
    <n v="2500"/>
    <d v="2025-05-01T00:00:00"/>
    <m/>
  </r>
  <r>
    <d v="2025-05-01T00:00:00"/>
    <s v="Prasanna"/>
    <x v="8"/>
    <n v="2500"/>
    <d v="2025-05-01T00:00:00"/>
    <m/>
  </r>
  <r>
    <d v="2025-05-01T00:00:00"/>
    <s v="Marshal"/>
    <x v="5"/>
    <n v="2500"/>
    <d v="2025-05-01T00:00:00"/>
    <m/>
  </r>
  <r>
    <d v="2025-05-02T00:00:00"/>
    <s v="Asha guruvappa"/>
    <x v="4"/>
    <n v="2500"/>
    <d v="2025-05-01T00:00:00"/>
    <m/>
  </r>
  <r>
    <d v="2025-05-03T00:00:00"/>
    <s v="Prabhat Kiran"/>
    <x v="13"/>
    <n v="2500"/>
    <d v="2025-05-01T00:00:00"/>
    <m/>
  </r>
  <r>
    <d v="2025-05-04T00:00:00"/>
    <s v="Satish"/>
    <x v="11"/>
    <n v="2500"/>
    <d v="2025-05-01T00:00:00"/>
    <m/>
  </r>
  <r>
    <d v="2025-05-04T00:00:00"/>
    <s v="Dayanand"/>
    <x v="3"/>
    <n v="2500"/>
    <d v="2025-05-01T00:00:00"/>
    <m/>
  </r>
  <r>
    <d v="2025-05-05T00:00:00"/>
    <s v="Balu"/>
    <x v="9"/>
    <n v="2500"/>
    <d v="2025-05-01T00:00:00"/>
    <m/>
  </r>
  <r>
    <d v="2025-05-07T00:00:00"/>
    <s v="Adhikari"/>
    <x v="10"/>
    <n v="2500"/>
    <d v="2025-05-01T00:00:00"/>
    <m/>
  </r>
  <r>
    <d v="2025-05-08T00:00:00"/>
    <s v="Raghu"/>
    <x v="7"/>
    <n v="2500"/>
    <d v="2025-05-01T00:00:00"/>
    <m/>
  </r>
  <r>
    <d v="2025-05-08T00:00:00"/>
    <s v="Vimal"/>
    <x v="1"/>
    <n v="2500"/>
    <d v="2025-05-01T00:00:00"/>
    <m/>
  </r>
  <r>
    <d v="2025-05-10T00:00:00"/>
    <s v="Kavya"/>
    <x v="12"/>
    <n v="2500"/>
    <d v="2025-05-01T00:00:00"/>
    <m/>
  </r>
  <r>
    <d v="2025-05-10T00:00:00"/>
    <s v="Bibi Ayesha"/>
    <x v="14"/>
    <n v="2500"/>
    <d v="2025-05-01T00:00:00"/>
    <m/>
  </r>
  <r>
    <d v="2025-05-13T00:00:00"/>
    <s v="Gangadhar"/>
    <x v="21"/>
    <n v="2500"/>
    <d v="2025-05-01T00:00:00"/>
    <m/>
  </r>
  <r>
    <d v="2025-05-13T00:00:00"/>
    <s v="Rupesh"/>
    <x v="16"/>
    <n v="2500"/>
    <d v="2025-05-01T00:00:00"/>
    <m/>
  </r>
  <r>
    <d v="2025-05-16T00:00:00"/>
    <s v="Raju"/>
    <x v="17"/>
    <n v="2500"/>
    <d v="2025-05-01T00:00:00"/>
    <m/>
  </r>
  <r>
    <d v="2025-05-16T00:00:00"/>
    <s v="Abhay"/>
    <x v="15"/>
    <n v="2500"/>
    <d v="2025-05-01T00:00:00"/>
    <m/>
  </r>
  <r>
    <d v="2025-05-31T00:00:00"/>
    <s v="Rukmani"/>
    <x v="20"/>
    <n v="2500"/>
    <d v="2025-05-01T00:00:00"/>
    <s v="Same date 2 payments"/>
  </r>
  <r>
    <d v="2025-06-03T00:00:00"/>
    <s v="Nemath Khan"/>
    <x v="22"/>
    <n v="2500"/>
    <d v="2025-05-01T00:00:00"/>
    <m/>
  </r>
  <r>
    <d v="2025-08-08T00:00:00"/>
    <s v="Gurpreet"/>
    <x v="19"/>
    <n v="2500"/>
    <d v="2025-05-01T00:00:00"/>
    <s v="Paid 10k on Aug for Apr,May, June and August"/>
  </r>
  <r>
    <d v="2025-11-09T00:00:00"/>
    <s v="Ramachandra"/>
    <x v="0"/>
    <n v="2500"/>
    <d v="2025-05-01T00:00:00"/>
    <s v="5k On 09/11"/>
  </r>
  <r>
    <d v="2025-09-01T00:00:00"/>
    <s v="laxmikanth"/>
    <x v="23"/>
    <n v="2500"/>
    <d v="2025-05-04T00:00:00"/>
    <s v="10 for may june july aug"/>
  </r>
  <r>
    <d v="2025-06-10T00:00:00"/>
    <s v="Bibi Ayesha"/>
    <x v="14"/>
    <n v="2500"/>
    <d v="2025-06-01T00:00:00"/>
    <m/>
  </r>
  <r>
    <d v="2025-06-10T00:00:00"/>
    <s v="Rupesh"/>
    <x v="16"/>
    <n v="2500"/>
    <d v="2025-06-01T00:00:00"/>
    <m/>
  </r>
  <r>
    <d v="2025-06-10T00:00:00"/>
    <s v="Raghu"/>
    <x v="7"/>
    <n v="2500"/>
    <d v="2025-06-01T00:00:00"/>
    <m/>
  </r>
  <r>
    <d v="2025-07-09T00:00:00"/>
    <s v="Abhay"/>
    <x v="15"/>
    <n v="2500"/>
    <d v="2025-06-01T00:00:00"/>
    <s v="Paid 5k in july "/>
  </r>
  <r>
    <d v="2025-07-27T00:00:00"/>
    <s v="Nemath Khan"/>
    <x v="22"/>
    <n v="2500"/>
    <d v="2025-06-01T00:00:00"/>
    <s v="5k on July 27th"/>
  </r>
  <r>
    <d v="2025-08-01T00:00:00"/>
    <s v="Sudha"/>
    <x v="20"/>
    <n v="2500"/>
    <d v="2025-06-01T00:00:00"/>
    <m/>
  </r>
  <r>
    <d v="2025-08-08T00:00:00"/>
    <s v="Gurpreet"/>
    <x v="19"/>
    <n v="2500"/>
    <d v="2025-06-01T00:00:00"/>
    <s v="Paid 10k on Aug for Apr,May, June and August"/>
  </r>
  <r>
    <d v="2025-11-09T00:00:00"/>
    <s v="Ramachandra"/>
    <x v="0"/>
    <n v="2500"/>
    <d v="2025-06-01T00:00:00"/>
    <s v="5k On 09/11"/>
  </r>
  <r>
    <d v="2025-09-01T00:00:00"/>
    <s v="laxmikanth"/>
    <x v="23"/>
    <n v="2500"/>
    <d v="2025-06-04T00:00:00"/>
    <s v="10 for may june july aug"/>
  </r>
  <r>
    <d v="2025-06-07T00:00:00"/>
    <s v="Satish"/>
    <x v="11"/>
    <n v="2500"/>
    <d v="2025-06-06T00:00:00"/>
    <m/>
  </r>
  <r>
    <d v="2025-06-07T00:00:00"/>
    <s v="Adhikari"/>
    <x v="10"/>
    <n v="2500"/>
    <d v="2025-06-06T00:00:00"/>
    <m/>
  </r>
  <r>
    <d v="2025-06-10T00:00:00"/>
    <s v="Kavya"/>
    <x v="12"/>
    <n v="2500"/>
    <d v="2025-06-06T00:00:00"/>
    <m/>
  </r>
  <r>
    <d v="2025-06-14T00:00:00"/>
    <s v="Raju"/>
    <x v="17"/>
    <n v="2500"/>
    <d v="2025-06-06T00:00:00"/>
    <m/>
  </r>
  <r>
    <d v="2025-05-31T00:00:00"/>
    <s v="Amith"/>
    <x v="6"/>
    <n v="2500"/>
    <d v="2025-06-30T00:00:00"/>
    <m/>
  </r>
  <r>
    <d v="2025-06-01T00:00:00"/>
    <s v="Prathibha"/>
    <x v="2"/>
    <n v="2500"/>
    <d v="2025-06-30T00:00:00"/>
    <m/>
  </r>
  <r>
    <d v="2025-06-02T00:00:00"/>
    <s v="Marshal"/>
    <x v="5"/>
    <n v="2500"/>
    <d v="2025-06-30T00:00:00"/>
    <m/>
  </r>
  <r>
    <d v="2025-06-03T00:00:00"/>
    <s v="Prabhat Kiran"/>
    <x v="13"/>
    <n v="2500"/>
    <d v="2025-06-30T00:00:00"/>
    <m/>
  </r>
  <r>
    <d v="2025-06-03T00:00:00"/>
    <s v="Nemath Khan"/>
    <x v="22"/>
    <n v="2500"/>
    <d v="2025-06-30T00:00:00"/>
    <m/>
  </r>
  <r>
    <d v="2025-06-03T00:00:00"/>
    <s v="Dayanand"/>
    <x v="3"/>
    <n v="2500"/>
    <d v="2025-06-30T00:00:00"/>
    <m/>
  </r>
  <r>
    <d v="2025-06-03T00:00:00"/>
    <s v="Asha guruvappa"/>
    <x v="4"/>
    <n v="2500"/>
    <d v="2025-06-30T00:00:00"/>
    <m/>
  </r>
  <r>
    <d v="2025-06-03T00:00:00"/>
    <s v="Prasann "/>
    <x v="8"/>
    <n v="2500"/>
    <d v="2025-06-30T00:00:00"/>
    <m/>
  </r>
  <r>
    <d v="2025-06-04T00:00:00"/>
    <s v="Balu"/>
    <x v="9"/>
    <n v="2500"/>
    <d v="2025-06-30T00:00:00"/>
    <m/>
  </r>
  <r>
    <d v="2025-06-07T00:00:00"/>
    <s v="Vimal"/>
    <x v="1"/>
    <n v="2500"/>
    <d v="2025-06-30T00:00:00"/>
    <m/>
  </r>
  <r>
    <d v="2025-06-30T00:00:00"/>
    <s v="Arjun"/>
    <x v="21"/>
    <n v="2500"/>
    <d v="2025-06-30T00:00:00"/>
    <s v="Paid 5k from June and July"/>
  </r>
  <r>
    <d v="2025-05-16T00:00:00"/>
    <s v="Syed"/>
    <x v="18"/>
    <n v="3000"/>
    <d v="2025-05-01T00:00:00"/>
    <m/>
  </r>
  <r>
    <d v="2025-06-30T00:00:00"/>
    <s v="Syed"/>
    <x v="18"/>
    <n v="2500"/>
    <d v="2025-06-30T00:00:00"/>
    <m/>
  </r>
  <r>
    <d v="2025-07-27T00:00:00"/>
    <s v="Nemath Khan"/>
    <x v="22"/>
    <n v="2500"/>
    <d v="2025-07-01T00:00:00"/>
    <s v="5k on July"/>
  </r>
  <r>
    <d v="2025-09-16T00:00:00"/>
    <s v="Sudha"/>
    <x v="20"/>
    <n v="2500"/>
    <d v="2025-07-01T00:00:00"/>
    <s v="5k for July and Aug 2025"/>
  </r>
  <r>
    <d v="2025-09-01T00:00:00"/>
    <s v="laxmikanth"/>
    <x v="23"/>
    <n v="2500"/>
    <d v="2025-07-04T00:00:00"/>
    <s v="10 for may june july aug"/>
  </r>
  <r>
    <d v="2025-07-08T00:00:00"/>
    <s v="Amith "/>
    <x v="6"/>
    <n v="2500"/>
    <d v="2025-07-10T00:00:00"/>
    <m/>
  </r>
  <r>
    <d v="2025-07-09T00:00:00"/>
    <s v="Satish"/>
    <x v="11"/>
    <n v="2500"/>
    <d v="2025-07-11T00:00:00"/>
    <m/>
  </r>
  <r>
    <d v="2025-07-09T00:00:00"/>
    <s v="Abhay"/>
    <x v="15"/>
    <n v="2500"/>
    <d v="2025-07-12T00:00:00"/>
    <s v="Paid 5k in july "/>
  </r>
  <r>
    <d v="2025-07-10T00:00:00"/>
    <s v="Kavya"/>
    <x v="12"/>
    <n v="2500"/>
    <d v="2025-07-13T00:00:00"/>
    <m/>
  </r>
  <r>
    <d v="2025-07-10T00:00:00"/>
    <s v="Bibi Ayesha"/>
    <x v="14"/>
    <n v="2500"/>
    <d v="2025-07-14T00:00:00"/>
    <m/>
  </r>
  <r>
    <d v="2025-07-10T00:00:00"/>
    <s v="Rupesh"/>
    <x v="16"/>
    <n v="2500"/>
    <d v="2025-07-15T00:00:00"/>
    <m/>
  </r>
  <r>
    <d v="2025-07-10T00:00:00"/>
    <s v="Raghu"/>
    <x v="7"/>
    <n v="2500"/>
    <d v="2025-07-16T00:00:00"/>
    <m/>
  </r>
  <r>
    <d v="2025-07-16T00:00:00"/>
    <s v="Raju"/>
    <x v="17"/>
    <n v="2500"/>
    <d v="2025-07-17T00:00:00"/>
    <m/>
  </r>
  <r>
    <d v="2025-07-20T00:00:00"/>
    <s v="Syed"/>
    <x v="18"/>
    <n v="2500"/>
    <d v="2025-07-18T00:00:00"/>
    <m/>
  </r>
  <r>
    <d v="2025-06-30T00:00:00"/>
    <s v="Arjun"/>
    <x v="21"/>
    <n v="2500"/>
    <d v="2025-07-27T00:00:00"/>
    <s v="Paid 5k from June and July"/>
  </r>
  <r>
    <d v="2025-07-01T00:00:00"/>
    <s v="Asha guruvappa"/>
    <x v="4"/>
    <n v="2500"/>
    <d v="2025-07-27T00:00:00"/>
    <m/>
  </r>
  <r>
    <d v="2025-07-01T00:00:00"/>
    <s v="Marshal"/>
    <x v="5"/>
    <n v="2500"/>
    <d v="2025-07-27T00:00:00"/>
    <m/>
  </r>
  <r>
    <d v="2025-07-02T00:00:00"/>
    <s v="Prabhat Kiran"/>
    <x v="13"/>
    <n v="2500"/>
    <d v="2025-07-27T00:00:00"/>
    <m/>
  </r>
  <r>
    <d v="2025-07-02T00:00:00"/>
    <s v="Prathibha"/>
    <x v="2"/>
    <n v="2500"/>
    <d v="2025-07-27T00:00:00"/>
    <m/>
  </r>
  <r>
    <d v="2025-07-04T00:00:00"/>
    <s v="Balu"/>
    <x v="9"/>
    <n v="2500"/>
    <d v="2025-07-27T00:00:00"/>
    <m/>
  </r>
  <r>
    <d v="2025-07-07T00:00:00"/>
    <s v="Vimal"/>
    <x v="1"/>
    <n v="2500"/>
    <d v="2025-07-27T00:00:00"/>
    <m/>
  </r>
  <r>
    <d v="2025-07-07T00:00:00"/>
    <s v="Dayanand"/>
    <x v="3"/>
    <n v="2500"/>
    <d v="2025-07-27T00:00:00"/>
    <m/>
  </r>
  <r>
    <d v="2025-07-07T00:00:00"/>
    <s v="Adhikari"/>
    <x v="10"/>
    <n v="2500"/>
    <d v="2025-07-27T00:00:00"/>
    <m/>
  </r>
  <r>
    <d v="2025-07-08T00:00:00"/>
    <s v="Gurpreet"/>
    <x v="19"/>
    <n v="2500"/>
    <d v="2025-07-27T00:00:00"/>
    <m/>
  </r>
  <r>
    <d v="2025-07-08T00:00:00"/>
    <s v="Prasann "/>
    <x v="8"/>
    <n v="2500"/>
    <d v="2025-07-27T00:00:00"/>
    <m/>
  </r>
  <r>
    <d v="2025-08-01T00:00:00"/>
    <s v="Prathibha"/>
    <x v="2"/>
    <n v="2500"/>
    <d v="2025-08-01T00:00:00"/>
    <m/>
  </r>
  <r>
    <d v="2025-08-01T00:00:00"/>
    <s v="Dayanand"/>
    <x v="3"/>
    <n v="2500"/>
    <d v="2025-08-01T00:00:00"/>
    <m/>
  </r>
  <r>
    <d v="2025-08-02T00:00:00"/>
    <s v="Marshal"/>
    <x v="5"/>
    <n v="2500"/>
    <d v="2025-08-01T00:00:00"/>
    <m/>
  </r>
  <r>
    <d v="2025-08-02T00:00:00"/>
    <s v="Vimal"/>
    <x v="1"/>
    <n v="2500"/>
    <d v="2025-08-01T00:00:00"/>
    <m/>
  </r>
  <r>
    <d v="2025-08-03T00:00:00"/>
    <s v="Raghu"/>
    <x v="7"/>
    <n v="2500"/>
    <d v="2025-08-01T00:00:00"/>
    <m/>
  </r>
  <r>
    <d v="2025-08-04T00:00:00"/>
    <s v="Balu"/>
    <x v="9"/>
    <n v="2500"/>
    <d v="2025-08-01T00:00:00"/>
    <m/>
  </r>
  <r>
    <d v="2025-08-04T00:00:00"/>
    <s v="Prabhat Kiran"/>
    <x v="13"/>
    <n v="2500"/>
    <d v="2025-08-01T00:00:00"/>
    <m/>
  </r>
  <r>
    <d v="2025-08-04T00:00:00"/>
    <s v="Asha guruvappa"/>
    <x v="4"/>
    <n v="2500"/>
    <d v="2025-08-01T00:00:00"/>
    <m/>
  </r>
  <r>
    <d v="2025-08-07T00:00:00"/>
    <s v="Adhikari"/>
    <x v="10"/>
    <n v="2500"/>
    <d v="2025-08-01T00:00:00"/>
    <m/>
  </r>
  <r>
    <d v="2025-08-08T00:00:00"/>
    <s v="Amith "/>
    <x v="6"/>
    <n v="2500"/>
    <d v="2025-08-01T00:00:00"/>
    <m/>
  </r>
  <r>
    <d v="2025-08-08T00:00:00"/>
    <s v="Gurpreet"/>
    <x v="19"/>
    <n v="2500"/>
    <d v="2025-08-01T00:00:00"/>
    <s v="Paid 10k on Aug for Apr,May, June and August"/>
  </r>
  <r>
    <d v="2025-08-09T00:00:00"/>
    <s v="Abhay"/>
    <x v="15"/>
    <n v="2500"/>
    <d v="2025-08-01T00:00:00"/>
    <m/>
  </r>
  <r>
    <d v="2025-08-10T00:00:00"/>
    <s v="Bibi Ayesha"/>
    <x v="14"/>
    <n v="2500"/>
    <d v="2025-08-01T00:00:00"/>
    <m/>
  </r>
  <r>
    <d v="2025-08-10T00:00:00"/>
    <s v="Kavya"/>
    <x v="12"/>
    <n v="2500"/>
    <d v="2025-08-01T00:00:00"/>
    <m/>
  </r>
  <r>
    <d v="2025-08-10T00:00:00"/>
    <s v="Satish"/>
    <x v="11"/>
    <n v="2500"/>
    <d v="2025-08-01T00:00:00"/>
    <m/>
  </r>
  <r>
    <d v="2025-08-12T00:00:00"/>
    <s v="Rupesh"/>
    <x v="16"/>
    <n v="2500"/>
    <d v="2025-08-01T00:00:00"/>
    <m/>
  </r>
  <r>
    <d v="2025-08-15T00:00:00"/>
    <s v="Prasanna"/>
    <x v="8"/>
    <n v="2500"/>
    <d v="2025-08-01T00:00:00"/>
    <m/>
  </r>
  <r>
    <d v="2025-08-16T00:00:00"/>
    <s v="Raju"/>
    <x v="17"/>
    <n v="2500"/>
    <d v="2025-08-01T00:00:00"/>
    <m/>
  </r>
  <r>
    <d v="2025-08-24T00:00:00"/>
    <s v="Syed"/>
    <x v="18"/>
    <n v="2500"/>
    <d v="2025-08-01T00:00:00"/>
    <m/>
  </r>
  <r>
    <d v="2025-09-16T00:00:00"/>
    <s v="Sudha"/>
    <x v="20"/>
    <n v="2500"/>
    <d v="2025-08-01T00:00:00"/>
    <s v="5k for July and Aug 2025"/>
  </r>
  <r>
    <d v="2025-09-17T00:00:00"/>
    <s v="Arjun"/>
    <x v="21"/>
    <n v="2500"/>
    <d v="2025-08-01T00:00:00"/>
    <s v="5k for Sept and Aug 2025"/>
  </r>
  <r>
    <d v="2025-09-01T00:00:00"/>
    <s v="laxmikanth"/>
    <x v="23"/>
    <n v="2500"/>
    <d v="2025-08-04T00:00:00"/>
    <s v="10 for may june july aug"/>
  </r>
  <r>
    <d v="2025-09-01T00:00:00"/>
    <s v="Prathibha"/>
    <x v="2"/>
    <n v="2500"/>
    <d v="2025-09-01T00:00:00"/>
    <m/>
  </r>
  <r>
    <d v="2025-10-01T00:00:00"/>
    <s v="Sudha"/>
    <x v="20"/>
    <n v="2500"/>
    <d v="2025-09-01T00:00:00"/>
    <m/>
  </r>
  <r>
    <d v="2025-10-17T00:00:00"/>
    <s v="laxmikanth"/>
    <x v="23"/>
    <n v="2500"/>
    <d v="2025-09-01T00:00:00"/>
    <s v="Sept and october 2025"/>
  </r>
  <r>
    <d v="2025-09-01T00:00:00"/>
    <s v="Marshal"/>
    <x v="5"/>
    <n v="2500"/>
    <d v="2025-09-02T00:00:00"/>
    <m/>
  </r>
  <r>
    <d v="2025-09-02T00:00:00"/>
    <s v="Prasanna"/>
    <x v="8"/>
    <n v="2500"/>
    <d v="2025-09-02T00:00:00"/>
    <m/>
  </r>
  <r>
    <d v="2025-09-01T00:00:00"/>
    <s v="Prabhat Kiran"/>
    <x v="13"/>
    <n v="2500"/>
    <d v="2025-09-03T00:00:00"/>
    <m/>
  </r>
  <r>
    <d v="2025-09-02T00:00:00"/>
    <s v="Dayanand"/>
    <x v="3"/>
    <n v="2500"/>
    <d v="2025-09-03T00:00:00"/>
    <m/>
  </r>
  <r>
    <d v="2025-09-03T00:00:00"/>
    <s v="Balu"/>
    <x v="9"/>
    <n v="2500"/>
    <d v="2025-09-04T00:00:00"/>
    <m/>
  </r>
  <r>
    <d v="2025-09-03T00:00:00"/>
    <s v="Asha guruvappa"/>
    <x v="4"/>
    <n v="2500"/>
    <d v="2025-09-05T00:00:00"/>
    <m/>
  </r>
  <r>
    <d v="2025-09-06T00:00:00"/>
    <s v="Syed"/>
    <x v="18"/>
    <n v="2500"/>
    <d v="2025-09-06T00:00:00"/>
    <m/>
  </r>
  <r>
    <d v="2025-09-06T00:00:00"/>
    <s v="Rupesh"/>
    <x v="16"/>
    <n v="2500"/>
    <d v="2025-09-07T00:00:00"/>
    <m/>
  </r>
  <r>
    <d v="2025-09-07T00:00:00"/>
    <s v="Adhikari"/>
    <x v="10"/>
    <n v="2500"/>
    <d v="2025-09-08T00:00:00"/>
    <m/>
  </r>
  <r>
    <d v="2025-09-08T00:00:00"/>
    <s v="Amith "/>
    <x v="6"/>
    <n v="2500"/>
    <d v="2025-09-09T00:00:00"/>
    <m/>
  </r>
  <r>
    <d v="2025-09-08T00:00:00"/>
    <s v="Vimal"/>
    <x v="1"/>
    <n v="2500"/>
    <d v="2025-09-10T00:00:00"/>
    <m/>
  </r>
  <r>
    <d v="2025-09-10T00:00:00"/>
    <s v="Kavya"/>
    <x v="12"/>
    <n v="2500"/>
    <d v="2025-09-11T00:00:00"/>
    <m/>
  </r>
  <r>
    <d v="2025-09-10T00:00:00"/>
    <s v="Satish"/>
    <x v="11"/>
    <n v="2500"/>
    <d v="2025-09-12T00:00:00"/>
    <m/>
  </r>
  <r>
    <d v="2025-09-11T00:00:00"/>
    <s v="Abhay"/>
    <x v="15"/>
    <n v="2500"/>
    <d v="2025-09-13T00:00:00"/>
    <m/>
  </r>
  <r>
    <d v="2025-08-17T00:00:00"/>
    <s v="Raju"/>
    <x v="17"/>
    <n v="2500"/>
    <d v="2025-09-16T00:00:00"/>
    <m/>
  </r>
  <r>
    <d v="2025-09-17T00:00:00"/>
    <s v="Arjun"/>
    <x v="21"/>
    <n v="2500"/>
    <d v="2025-09-17T00:00:00"/>
    <s v="5k for Sept and Aug 2025"/>
  </r>
  <r>
    <d v="2025-09-17T00:00:00"/>
    <s v="Gurpreet"/>
    <x v="19"/>
    <n v="2500"/>
    <d v="2025-09-19T00:00:00"/>
    <m/>
  </r>
  <r>
    <d v="2025-09-25T00:00:00"/>
    <s v="Bibi Ayesha"/>
    <x v="14"/>
    <n v="2500"/>
    <d v="2025-09-20T00:00:00"/>
    <m/>
  </r>
  <r>
    <d v="2025-09-25T00:00:00"/>
    <s v="Raghu"/>
    <x v="7"/>
    <n v="2500"/>
    <d v="2025-09-21T00:00:00"/>
    <m/>
  </r>
  <r>
    <d v="2025-09-30T00:00:00"/>
    <s v="Nemath Khan"/>
    <x v="22"/>
    <n v="2500"/>
    <d v="2025-09-22T00:00:00"/>
    <m/>
  </r>
  <r>
    <d v="2025-11-09T00:00:00"/>
    <s v="Arjun"/>
    <x v="21"/>
    <n v="2500"/>
    <d v="2025-10-01T00:00:00"/>
    <s v="Paid 7k on Nov"/>
  </r>
  <r>
    <d v="2025-10-02T00:00:00"/>
    <s v="Prathibha"/>
    <x v="2"/>
    <n v="2500"/>
    <d v="2025-10-02T00:00:00"/>
    <m/>
  </r>
  <r>
    <d v="2025-10-02T00:00:00"/>
    <s v="Dayanand"/>
    <x v="3"/>
    <n v="2500"/>
    <d v="2025-10-03T00:00:00"/>
    <m/>
  </r>
  <r>
    <d v="2025-10-03T00:00:00"/>
    <s v="Prasanna"/>
    <x v="8"/>
    <n v="2500"/>
    <d v="2025-10-04T00:00:00"/>
    <m/>
  </r>
  <r>
    <d v="2025-10-03T00:00:00"/>
    <s v="Marshal"/>
    <x v="5"/>
    <n v="2500"/>
    <d v="2025-10-05T00:00:00"/>
    <m/>
  </r>
  <r>
    <d v="2025-10-03T00:00:00"/>
    <s v="Balu"/>
    <x v="9"/>
    <n v="2500"/>
    <d v="2025-10-06T00:00:00"/>
    <m/>
  </r>
  <r>
    <d v="2025-10-03T00:00:00"/>
    <s v="Asha guruvappa"/>
    <x v="4"/>
    <n v="2500"/>
    <d v="2025-10-07T00:00:00"/>
    <m/>
  </r>
  <r>
    <d v="2025-10-04T00:00:00"/>
    <s v="Rupesh"/>
    <x v="16"/>
    <n v="2500"/>
    <d v="2025-10-08T00:00:00"/>
    <m/>
  </r>
  <r>
    <d v="2025-10-04T00:00:00"/>
    <s v="Prabhat Kiran"/>
    <x v="13"/>
    <n v="2500"/>
    <d v="2025-10-09T00:00:00"/>
    <m/>
  </r>
  <r>
    <d v="2025-10-06T00:00:00"/>
    <s v="Vimal"/>
    <x v="1"/>
    <n v="2500"/>
    <d v="2025-10-10T00:00:00"/>
    <m/>
  </r>
  <r>
    <d v="2025-10-07T00:00:00"/>
    <s v="Adhikari"/>
    <x v="10"/>
    <n v="2500"/>
    <d v="2025-10-11T00:00:00"/>
    <m/>
  </r>
  <r>
    <d v="2025-11-07T00:00:00"/>
    <s v="Adhikari"/>
    <x v="10"/>
    <n v="2500"/>
    <d v="2025-11-01T00:00:00"/>
    <m/>
  </r>
  <r>
    <d v="2025-10-08T00:00:00"/>
    <s v="Amith "/>
    <x v="6"/>
    <n v="2500"/>
    <d v="2025-10-12T00:00:00"/>
    <m/>
  </r>
  <r>
    <d v="2025-10-09T00:00:00"/>
    <s v="Satish"/>
    <x v="11"/>
    <n v="2500"/>
    <d v="2025-10-13T00:00:00"/>
    <m/>
  </r>
  <r>
    <d v="2025-10-09T00:00:00"/>
    <s v="Raghu"/>
    <x v="7"/>
    <n v="2500"/>
    <d v="2025-10-14T00:00:00"/>
    <m/>
  </r>
  <r>
    <d v="2025-10-09T00:00:00"/>
    <s v="Sudha"/>
    <x v="20"/>
    <n v="2500"/>
    <d v="2025-10-15T00:00:00"/>
    <m/>
  </r>
  <r>
    <d v="2025-10-10T00:00:00"/>
    <s v="Bibi Ayesha"/>
    <x v="14"/>
    <n v="2500"/>
    <d v="2025-10-16T00:00:00"/>
    <m/>
  </r>
  <r>
    <d v="2025-10-10T00:00:00"/>
    <s v="Abhay"/>
    <x v="15"/>
    <n v="2500"/>
    <d v="2025-10-17T00:00:00"/>
    <m/>
  </r>
  <r>
    <d v="2025-10-10T00:00:00"/>
    <s v="Kavya"/>
    <x v="12"/>
    <n v="2500"/>
    <d v="2025-10-18T00:00:00"/>
    <m/>
  </r>
  <r>
    <d v="2025-10-10T00:00:00"/>
    <s v="Syed"/>
    <x v="18"/>
    <n v="2500"/>
    <d v="2025-10-18T00:00:00"/>
    <m/>
  </r>
  <r>
    <d v="2025-10-12T00:00:00"/>
    <s v="Nemath Khan"/>
    <x v="22"/>
    <n v="2500"/>
    <d v="2025-10-18T00:00:00"/>
    <m/>
  </r>
  <r>
    <d v="2025-10-14T00:00:00"/>
    <s v="Gurpreet"/>
    <x v="19"/>
    <n v="2500"/>
    <d v="2025-10-18T00:00:00"/>
    <m/>
  </r>
  <r>
    <d v="2025-10-15T00:00:00"/>
    <s v="Raju"/>
    <x v="17"/>
    <n v="2500"/>
    <d v="2025-10-18T00:00:00"/>
    <m/>
  </r>
  <r>
    <d v="2025-10-17T00:00:00"/>
    <s v="laxmikanth"/>
    <x v="23"/>
    <n v="2500"/>
    <d v="2025-10-18T00:00:00"/>
    <s v="Sept and october 2025"/>
  </r>
  <r>
    <d v="2025-11-01T00:00:00"/>
    <s v="Amith "/>
    <x v="6"/>
    <n v="4500"/>
    <d v="2025-11-01T00:00:00"/>
    <m/>
  </r>
  <r>
    <d v="2025-11-02T00:00:00"/>
    <s v="Marshal"/>
    <x v="5"/>
    <n v="2500"/>
    <d v="2025-11-01T00:00:00"/>
    <m/>
  </r>
  <r>
    <d v="2025-11-03T00:00:00"/>
    <s v="Priya Vinod"/>
    <x v="2"/>
    <n v="4500"/>
    <d v="2025-11-01T00:00:00"/>
    <m/>
  </r>
  <r>
    <d v="2025-11-03T00:00:00"/>
    <s v="Balu"/>
    <x v="9"/>
    <n v="4500"/>
    <d v="2025-11-01T00:00:00"/>
    <m/>
  </r>
  <r>
    <d v="2025-11-04T00:00:00"/>
    <s v="Asha guruvappa"/>
    <x v="4"/>
    <n v="2500"/>
    <d v="2025-11-01T00:00:00"/>
    <m/>
  </r>
  <r>
    <d v="2025-11-04T00:00:00"/>
    <s v="Prabhat Kiran"/>
    <x v="13"/>
    <n v="2500"/>
    <d v="2025-11-01T00:00:00"/>
    <m/>
  </r>
  <r>
    <d v="2025-11-04T00:00:00"/>
    <s v="Vimal"/>
    <x v="1"/>
    <n v="4500"/>
    <d v="2025-11-01T00:00:00"/>
    <m/>
  </r>
  <r>
    <d v="2025-11-04T00:00:00"/>
    <s v="Kavya"/>
    <x v="12"/>
    <n v="4500"/>
    <d v="2025-11-01T00:00:00"/>
    <m/>
  </r>
  <r>
    <d v="2025-11-04T00:00:00"/>
    <s v="Sudha"/>
    <x v="20"/>
    <n v="4500"/>
    <d v="2025-11-01T00:00:00"/>
    <m/>
  </r>
  <r>
    <d v="2025-11-09T00:00:00"/>
    <s v="Dayanand"/>
    <x v="3"/>
    <n v="4500"/>
    <d v="2025-11-01T00:00:00"/>
    <m/>
  </r>
  <r>
    <d v="2025-11-12T00:00:00"/>
    <s v="Syed"/>
    <x v="18"/>
    <n v="4500"/>
    <d v="2025-11-01T00:00:00"/>
    <m/>
  </r>
  <r>
    <d v="2025-12-12T00:00:00"/>
    <s v="Rupesh"/>
    <x v="16"/>
    <n v="2000"/>
    <d v="2025-11-01T00:00:00"/>
    <m/>
  </r>
  <r>
    <d v="2025-12-18T00:00:00"/>
    <s v="Marshal"/>
    <x v="5"/>
    <n v="2000"/>
    <d v="2025-11-01T00:00:00"/>
    <m/>
  </r>
  <r>
    <d v="2025-11-09T00:00:00"/>
    <s v="Arjun"/>
    <x v="21"/>
    <n v="4500"/>
    <d v="2025-11-02T00:00:00"/>
    <s v="Paid 7k on Nov"/>
  </r>
  <r>
    <d v="2025-11-10T00:00:00"/>
    <s v="Prasanna"/>
    <x v="8"/>
    <n v="4500"/>
    <d v="2025-11-03T00:00:00"/>
    <m/>
  </r>
  <r>
    <d v="2025-11-10T00:00:00"/>
    <s v="Satish"/>
    <x v="11"/>
    <n v="2500"/>
    <d v="2025-11-04T00:00:00"/>
    <m/>
  </r>
  <r>
    <d v="2025-11-10T00:00:00"/>
    <s v="Satish"/>
    <x v="11"/>
    <n v="2000"/>
    <d v="2025-11-05T00:00:00"/>
    <m/>
  </r>
  <r>
    <d v="2025-11-10T00:00:00"/>
    <s v="Bibi Ayesha"/>
    <x v="14"/>
    <n v="4500"/>
    <d v="2025-11-06T00:00:00"/>
    <m/>
  </r>
  <r>
    <d v="2025-11-12T00:00:00"/>
    <s v="Rupesh"/>
    <x v="16"/>
    <n v="2500"/>
    <d v="2025-11-07T00:00:00"/>
    <m/>
  </r>
  <r>
    <d v="2025-11-12T00:00:00"/>
    <s v="Raju"/>
    <x v="17"/>
    <n v="4500"/>
    <d v="2025-11-08T00:00:00"/>
    <m/>
  </r>
  <r>
    <d v="2025-11-12T00:00:00"/>
    <s v="Abhay"/>
    <x v="15"/>
    <n v="2500"/>
    <d v="2025-11-08T00:00:00"/>
    <m/>
  </r>
  <r>
    <d v="2025-11-12T00:00:00"/>
    <s v="Abhay"/>
    <x v="15"/>
    <n v="2000"/>
    <d v="2025-11-08T00:00:00"/>
    <m/>
  </r>
  <r>
    <d v="2025-11-16T00:00:00"/>
    <s v="Nemath Khan"/>
    <x v="22"/>
    <n v="5000"/>
    <d v="2025-11-08T00:00:00"/>
    <m/>
  </r>
  <r>
    <d v="2025-11-29T00:00:00"/>
    <s v="Prathibha"/>
    <x v="2"/>
    <n v="2500"/>
    <d v="2025-11-08T00:00:00"/>
    <m/>
  </r>
  <r>
    <d v="2025-11-29T00:00:00"/>
    <s v="Prathibha"/>
    <x v="2"/>
    <n v="2000"/>
    <d v="2025-11-08T00:00:00"/>
    <m/>
  </r>
  <r>
    <d v="2025-12-10T00:00:00"/>
    <s v="Raghu"/>
    <x v="7"/>
    <n v="4500"/>
    <d v="2025-11-10T00:00:00"/>
    <m/>
  </r>
  <r>
    <d v="2025-12-01T00:00:00"/>
    <s v="Vimal"/>
    <x v="12"/>
    <n v="4500"/>
    <d v="2025-12-11T00:00:00"/>
    <m/>
  </r>
  <r>
    <d v="2025-12-01T00:00:00"/>
    <s v="Vimal"/>
    <x v="1"/>
    <n v="4500"/>
    <d v="2025-12-12T00:00:00"/>
    <m/>
  </r>
  <r>
    <d v="2025-12-01T00:00:00"/>
    <s v="Prasanna"/>
    <x v="8"/>
    <n v="4500"/>
    <d v="2025-12-13T00:00:00"/>
    <m/>
  </r>
  <r>
    <d v="2025-12-02T00:00:00"/>
    <s v="Ramachandra"/>
    <x v="0"/>
    <n v="5000"/>
    <d v="2025-12-14T00:00:00"/>
    <m/>
  </r>
  <r>
    <d v="2025-12-02T00:00:00"/>
    <s v="Marshal"/>
    <x v="5"/>
    <n v="2500"/>
    <d v="2025-12-15T00:00:00"/>
    <m/>
  </r>
  <r>
    <d v="2025-12-02T00:00:00"/>
    <s v="Asha guruvappa"/>
    <x v="4"/>
    <n v="2500"/>
    <d v="2025-12-16T00:00:00"/>
    <m/>
  </r>
  <r>
    <d v="2025-12-03T00:00:00"/>
    <s v="laxmikanth"/>
    <x v="23"/>
    <n v="4500"/>
    <d v="2025-12-17T00:00:00"/>
    <m/>
  </r>
  <r>
    <d v="2025-12-03T00:00:00"/>
    <s v="Arjun"/>
    <x v="21"/>
    <n v="4500"/>
    <d v="2025-12-18T00:00:00"/>
    <m/>
  </r>
  <r>
    <d v="2025-12-03T00:00:00"/>
    <s v="Dayanand"/>
    <x v="3"/>
    <n v="4500"/>
    <d v="2025-12-19T00:00:00"/>
    <m/>
  </r>
  <r>
    <d v="2025-12-04T00:00:00"/>
    <s v="Prabhat Kiran"/>
    <x v="13"/>
    <n v="2500"/>
    <d v="2025-12-20T00:00:00"/>
    <m/>
  </r>
  <r>
    <d v="2025-12-05T00:00:00"/>
    <s v="Balu"/>
    <x v="9"/>
    <n v="4500"/>
    <d v="2025-12-21T00:00:00"/>
    <m/>
  </r>
  <r>
    <d v="2025-12-06T00:00:00"/>
    <s v="Adhikari"/>
    <x v="10"/>
    <n v="2500"/>
    <d v="2025-12-22T00:00:00"/>
    <m/>
  </r>
  <r>
    <d v="2025-12-07T00:00:00"/>
    <s v="Amith "/>
    <x v="6"/>
    <n v="4500"/>
    <d v="2025-12-23T00:00:00"/>
    <m/>
  </r>
  <r>
    <d v="2025-12-07T00:00:00"/>
    <s v="Satish"/>
    <x v="11"/>
    <n v="4500"/>
    <d v="2025-12-24T00:00:00"/>
    <m/>
  </r>
  <r>
    <d v="2025-12-07T00:00:00"/>
    <s v="Syed"/>
    <x v="18"/>
    <n v="4500"/>
    <d v="2025-12-25T00:00:00"/>
    <m/>
  </r>
  <r>
    <d v="2025-12-10T00:00:00"/>
    <s v="Abhay"/>
    <x v="15"/>
    <n v="4500"/>
    <d v="2025-12-26T00:00:00"/>
    <m/>
  </r>
  <r>
    <d v="2025-12-10T00:00:00"/>
    <s v="Bibi Ayesha"/>
    <x v="14"/>
    <n v="4500"/>
    <d v="2025-12-27T00:00:00"/>
    <m/>
  </r>
  <r>
    <d v="2025-12-10T00:00:00"/>
    <s v="Raghu"/>
    <x v="7"/>
    <n v="4500"/>
    <d v="2025-12-28T00:00:00"/>
    <m/>
  </r>
  <r>
    <d v="2025-12-11T00:00:00"/>
    <s v="Vinod"/>
    <x v="4"/>
    <n v="2000"/>
    <d v="2025-12-28T00:00:00"/>
    <s v="Bescom"/>
  </r>
  <r>
    <d v="2025-12-12T00:00:00"/>
    <s v="Rupesh"/>
    <x v="16"/>
    <n v="2500"/>
    <d v="2025-12-28T00:00:00"/>
    <m/>
  </r>
  <r>
    <d v="2025-12-12T00:00:00"/>
    <s v="Raju"/>
    <x v="17"/>
    <n v="4500"/>
    <d v="2025-12-29T00:00:00"/>
    <m/>
  </r>
  <r>
    <d v="2025-12-12T00:00:00"/>
    <s v="Sudha"/>
    <x v="20"/>
    <n v="4500"/>
    <d v="2025-12-30T00:00:00"/>
    <m/>
  </r>
  <r>
    <d v="2025-12-12T00:00:00"/>
    <s v="Rupesh"/>
    <x v="16"/>
    <n v="2000"/>
    <d v="2025-12-31T00:00:00"/>
    <m/>
  </r>
  <r>
    <d v="2025-12-18T00:00:00"/>
    <s v="Marshal"/>
    <x v="5"/>
    <n v="2000"/>
    <d v="2025-12-31T00:00:00"/>
    <m/>
  </r>
  <r>
    <d v="2025-12-30T00:00:00"/>
    <s v="Ramachandra"/>
    <x v="0"/>
    <n v="4500"/>
    <d v="2025-12-31T00:00:00"/>
    <m/>
  </r>
  <r>
    <d v="2026-01-01T00:00:00"/>
    <s v="Prasanna"/>
    <x v="8"/>
    <n v="4500"/>
    <d v="2026-01-05T00:00:00"/>
    <m/>
  </r>
  <r>
    <d v="2026-01-01T00:00:00"/>
    <s v="Raghu"/>
    <x v="7"/>
    <n v="4500"/>
    <d v="2026-01-06T00:00:00"/>
    <m/>
  </r>
  <r>
    <d v="2026-01-03T00:00:00"/>
    <s v="Dayanand"/>
    <x v="3"/>
    <n v="4500"/>
    <d v="2026-01-07T00:00:00"/>
    <m/>
  </r>
  <r>
    <d v="2026-01-03T00:00:00"/>
    <s v="Pratibha"/>
    <x v="2"/>
    <n v="4500"/>
    <d v="2026-01-07T00:00:00"/>
    <m/>
  </r>
  <r>
    <d v="2026-01-03T00:00:00"/>
    <s v="Asha guruvappa"/>
    <x v="4"/>
    <n v="2500"/>
    <d v="2026-01-07T00:00:00"/>
    <m/>
  </r>
  <r>
    <d v="2026-01-05T00:00:00"/>
    <s v="Balu"/>
    <x v="9"/>
    <n v="4500"/>
    <d v="2026-01-07T00:00:00"/>
    <m/>
  </r>
  <r>
    <d v="2026-01-05T00:00:00"/>
    <s v="Marshal"/>
    <x v="5"/>
    <n v="2500"/>
    <d v="2026-01-07T00:00:00"/>
    <m/>
  </r>
  <r>
    <d v="2026-01-05T00:00:00"/>
    <s v="Prabhat Kiran"/>
    <x v="13"/>
    <n v="2500"/>
    <d v="2026-01-07T00:00:00"/>
    <m/>
  </r>
  <r>
    <d v="2026-01-05T00:00:00"/>
    <s v="Vinod"/>
    <x v="4"/>
    <n v="2000"/>
    <d v="2026-01-07T00:00:00"/>
    <m/>
  </r>
  <r>
    <d v="2026-01-05T00:00:00"/>
    <s v="Adhikari"/>
    <x v="10"/>
    <n v="2500"/>
    <d v="2026-01-07T00:00:00"/>
    <m/>
  </r>
  <r>
    <d v="2026-01-07T00:00:00"/>
    <s v="Satish"/>
    <x v="11"/>
    <n v="4500"/>
    <d v="2026-01-07T00:00:00"/>
    <s v="Main"/>
  </r>
  <r>
    <d v="2026-01-07T00:00:00"/>
    <s v="Amith "/>
    <x v="6"/>
    <n v="4500"/>
    <d v="2026-01-07T00:00:00"/>
    <s v="Main"/>
  </r>
  <r>
    <d v="2026-01-08T00:00:00"/>
    <s v="Marshal"/>
    <x v="5"/>
    <n v="2000"/>
    <d v="2026-01-07T00:00:00"/>
    <m/>
  </r>
  <r>
    <d v="2026-01-09T00:00:00"/>
    <s v="Vimal"/>
    <x v="1"/>
    <n v="4500"/>
    <d v="2026-01-07T00:00:00"/>
    <m/>
  </r>
  <r>
    <d v="2026-01-09T00:00:00"/>
    <s v="Kavya"/>
    <x v="12"/>
    <n v="4500"/>
    <d v="2026-01-07T00:00:00"/>
    <m/>
  </r>
  <r>
    <d v="2026-01-09T00:00:00"/>
    <s v="Abhay"/>
    <x v="15"/>
    <n v="4500"/>
    <d v="2026-01-07T00:00:00"/>
    <m/>
  </r>
  <r>
    <d v="2026-01-10T00:00:00"/>
    <s v="Bibi Ayesha"/>
    <x v="14"/>
    <n v="4500"/>
    <d v="2026-01-07T00:00:00"/>
    <m/>
  </r>
  <r>
    <d v="2026-01-12T00:00:00"/>
    <s v="Rupesh"/>
    <x v="16"/>
    <n v="4500"/>
    <d v="2026-01-01T00:00:00"/>
    <m/>
  </r>
  <r>
    <d v="2026-01-12T00:00:00"/>
    <s v="Shashikala"/>
    <x v="10"/>
    <n v="2000"/>
    <d v="2025-11-01T00:00:00"/>
    <s v="Paid 6k on Jan for bescom"/>
  </r>
  <r>
    <d v="2026-01-12T00:00:00"/>
    <s v="Shashikala"/>
    <x v="10"/>
    <n v="2000"/>
    <d v="2025-12-05T00:00:00"/>
    <s v="Paid 6k on Jan for bescom"/>
  </r>
  <r>
    <d v="2026-01-12T00:00:00"/>
    <s v="Shashikala"/>
    <x v="10"/>
    <n v="2000"/>
    <d v="2026-01-07T00:00:00"/>
    <s v="Paid 6k on Jan for bescom"/>
  </r>
  <r>
    <d v="2026-01-12T00:00:00"/>
    <s v="Gurpreet"/>
    <x v="19"/>
    <n v="2000"/>
    <d v="2026-01-07T00:00:00"/>
    <s v="Bescom 3 month"/>
  </r>
  <r>
    <d v="2026-01-12T00:00:00"/>
    <s v="Gurpreet"/>
    <x v="19"/>
    <n v="2000"/>
    <d v="2026-01-07T00:00:00"/>
    <s v="Bescom 3 month"/>
  </r>
  <r>
    <d v="2026-01-12T00:00:00"/>
    <s v="Gurpreet"/>
    <x v="19"/>
    <n v="2000"/>
    <d v="2026-01-07T00:00:00"/>
    <s v="Bescom 3 month"/>
  </r>
  <r>
    <d v="2026-01-12T00:00:00"/>
    <s v="Gurpreet"/>
    <x v="19"/>
    <n v="2500"/>
    <d v="2025-11-01T00:00:00"/>
    <s v="Maintanace 3 month Nov Dec Jan"/>
  </r>
  <r>
    <d v="2026-01-12T00:00:00"/>
    <s v="Gurpreet"/>
    <x v="19"/>
    <n v="2500"/>
    <d v="2025-12-01T00:00:00"/>
    <s v="Maintanace 3 month Nov Dec Jan"/>
  </r>
  <r>
    <d v="2026-01-12T00:00:00"/>
    <s v="Gurpreet"/>
    <x v="19"/>
    <n v="2500"/>
    <d v="2026-01-07T00:00:00"/>
    <s v="Maintanace 3 month Nov Dec Jan"/>
  </r>
  <r>
    <d v="2026-01-12T00:00:00"/>
    <s v="Sudha"/>
    <x v="20"/>
    <n v="4500"/>
    <d v="2026-01-07T00:00:00"/>
    <m/>
  </r>
  <r>
    <d v="2026-01-14T00:00:00"/>
    <s v="Raju"/>
    <x v="17"/>
    <n v="4500"/>
    <d v="2026-01-07T00:00:00"/>
    <m/>
  </r>
  <r>
    <d v="2026-01-24T00:00:00"/>
    <s v="Syed"/>
    <x v="18"/>
    <n v="4500"/>
    <d v="2026-01-07T00:00:00"/>
    <m/>
  </r>
  <r>
    <d v="2026-01-29T00:00:00"/>
    <s v="Namath"/>
    <x v="22"/>
    <n v="5000"/>
    <d v="2026-01-07T00:00:00"/>
    <m/>
  </r>
  <r>
    <d v="2026-01-31T00:00:00"/>
    <s v="Ramachandra"/>
    <x v="0"/>
    <n v="4500"/>
    <d v="2026-01-07T00:00:00"/>
    <m/>
  </r>
  <r>
    <m/>
    <m/>
    <x v="2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55408-35E9-4E77-A31E-1DD7079570FB}" name="PivotTable1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29" firstHeaderRow="1" firstDataRow="1" firstDataCol="1"/>
  <pivotFields count="6">
    <pivotField compact="0" outline="0" showAll="0"/>
    <pivotField compact="0" outline="0" showAll="0"/>
    <pivotField axis="axisRow" compact="0" outline="0" showAll="0">
      <items count="26">
        <item x="9"/>
        <item x="12"/>
        <item x="1"/>
        <item x="13"/>
        <item x="2"/>
        <item x="22"/>
        <item x="21"/>
        <item x="23"/>
        <item x="17"/>
        <item x="15"/>
        <item x="3"/>
        <item x="4"/>
        <item x="14"/>
        <item x="5"/>
        <item x="20"/>
        <item x="16"/>
        <item x="11"/>
        <item x="18"/>
        <item x="10"/>
        <item x="19"/>
        <item x="6"/>
        <item x="0"/>
        <item x="7"/>
        <item x="8"/>
        <item x="24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2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Amount" fld="3" baseField="0" baseItem="0"/>
  </dataFields>
  <conditionalFormats count="2"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24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</reference>
          </references>
        </pivotArea>
      </pivotAreas>
    </conditionalFormat>
  </conditionalFormats>
  <chartFormats count="1"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opLeftCell="E1" workbookViewId="0">
      <pane ySplit="1" topLeftCell="A27" activePane="bottomLeft" state="frozen"/>
      <selection pane="bottomLeft" activeCell="H47" sqref="H47"/>
      <selection activeCell="E1" sqref="E1"/>
    </sheetView>
  </sheetViews>
  <sheetFormatPr defaultRowHeight="15"/>
  <cols>
    <col min="1" max="1" width="13" style="2" bestFit="1" customWidth="1"/>
    <col min="2" max="2" width="16.85546875" style="1" bestFit="1" customWidth="1"/>
    <col min="3" max="3" width="12.42578125" style="1" bestFit="1" customWidth="1"/>
    <col min="4" max="4" width="16.7109375" style="1" bestFit="1" customWidth="1"/>
    <col min="5" max="5" width="12" style="1" bestFit="1" customWidth="1"/>
    <col min="6" max="6" width="12.140625" style="1" bestFit="1" customWidth="1"/>
    <col min="7" max="7" width="16.7109375" style="1" bestFit="1" customWidth="1"/>
    <col min="8" max="8" width="16.7109375" style="1" customWidth="1"/>
    <col min="9" max="9" width="16.7109375" style="1" hidden="1" customWidth="1"/>
    <col min="10" max="10" width="47" style="32" customWidth="1"/>
    <col min="11" max="11" width="29.28515625" customWidth="1"/>
    <col min="12" max="12" width="16.7109375" customWidth="1"/>
    <col min="13" max="13" width="18.5703125" customWidth="1"/>
  </cols>
  <sheetData>
    <row r="1" spans="1:13" s="28" customFormat="1">
      <c r="A1" s="26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9" t="s">
        <v>9</v>
      </c>
    </row>
    <row r="2" spans="1:13">
      <c r="A2" s="16">
        <v>45306</v>
      </c>
      <c r="C2" s="17">
        <v>125307</v>
      </c>
      <c r="D2" s="17"/>
      <c r="E2" s="1">
        <v>0</v>
      </c>
      <c r="F2" s="1">
        <v>0</v>
      </c>
      <c r="G2" s="1">
        <v>0</v>
      </c>
      <c r="I2" s="1">
        <f>C2-(E2+F2)</f>
        <v>125307</v>
      </c>
      <c r="J2" s="37" t="s">
        <v>10</v>
      </c>
      <c r="K2" s="1"/>
    </row>
    <row r="3" spans="1:13">
      <c r="A3" s="16">
        <v>45322</v>
      </c>
      <c r="B3" s="1">
        <v>15000</v>
      </c>
      <c r="C3" s="1">
        <v>0</v>
      </c>
      <c r="D3" s="1">
        <v>15000</v>
      </c>
      <c r="E3" s="1">
        <v>15000</v>
      </c>
      <c r="F3" s="1">
        <v>0</v>
      </c>
      <c r="G3" s="1">
        <v>0</v>
      </c>
      <c r="I3" s="1" cm="1">
        <f t="array" ref="I3:J3">(I2+C3)-(E3:F3)</f>
        <v>110307</v>
      </c>
      <c r="J3" s="37">
        <v>125307</v>
      </c>
    </row>
    <row r="4" spans="1:13">
      <c r="A4" s="16">
        <v>45351</v>
      </c>
      <c r="B4" s="1">
        <v>15000</v>
      </c>
      <c r="C4" s="1">
        <v>0</v>
      </c>
      <c r="D4" s="1">
        <v>15000</v>
      </c>
      <c r="E4" s="1">
        <v>15000</v>
      </c>
      <c r="F4" s="1">
        <v>0</v>
      </c>
      <c r="G4" s="1">
        <v>0</v>
      </c>
      <c r="I4" s="1" cm="1">
        <f t="array" ref="I4:J4">(I3+C4)-(E4:F4)</f>
        <v>95307</v>
      </c>
      <c r="J4" s="37">
        <v>110307</v>
      </c>
    </row>
    <row r="5" spans="1:13">
      <c r="A5" s="16">
        <v>45362</v>
      </c>
      <c r="C5" s="1">
        <v>25000</v>
      </c>
      <c r="E5" s="1">
        <v>0</v>
      </c>
      <c r="F5" s="1">
        <v>0</v>
      </c>
      <c r="G5" s="1">
        <v>0</v>
      </c>
      <c r="I5" s="1">
        <f>(I4+C5)-(E5+F5)</f>
        <v>120307</v>
      </c>
      <c r="J5" s="37" t="s">
        <v>11</v>
      </c>
    </row>
    <row r="6" spans="1:13">
      <c r="A6" s="16">
        <v>45362</v>
      </c>
      <c r="C6" s="1">
        <v>603472</v>
      </c>
      <c r="E6" s="1">
        <v>0</v>
      </c>
      <c r="F6" s="1">
        <v>0</v>
      </c>
      <c r="G6" s="1">
        <v>0</v>
      </c>
      <c r="I6" s="1">
        <f>(I5+C6)-(E6+F6)</f>
        <v>723779</v>
      </c>
      <c r="J6" s="37"/>
    </row>
    <row r="7" spans="1:13">
      <c r="A7" s="16">
        <v>45364</v>
      </c>
      <c r="B7" s="1">
        <v>7060</v>
      </c>
      <c r="C7" s="1">
        <v>0</v>
      </c>
      <c r="E7" s="1">
        <v>0</v>
      </c>
      <c r="F7" s="1">
        <v>0</v>
      </c>
      <c r="G7" s="1">
        <v>17940</v>
      </c>
      <c r="I7" s="1">
        <f>(I6+C7)-(E7+F7)</f>
        <v>723779</v>
      </c>
      <c r="J7" s="37" t="s">
        <v>12</v>
      </c>
    </row>
    <row r="8" spans="1:13">
      <c r="A8" s="16">
        <v>45382</v>
      </c>
      <c r="B8" s="1">
        <v>30000</v>
      </c>
      <c r="C8" s="1">
        <v>0</v>
      </c>
      <c r="D8" s="1">
        <v>15000</v>
      </c>
      <c r="E8" s="1">
        <v>15000</v>
      </c>
      <c r="F8" s="1">
        <f>B8-E8-C8</f>
        <v>15000</v>
      </c>
      <c r="G8" s="1">
        <v>15000</v>
      </c>
      <c r="I8" s="1">
        <f>(I7+C8)-(E8+F8)</f>
        <v>693779</v>
      </c>
      <c r="J8" s="37"/>
      <c r="M8" s="1"/>
    </row>
    <row r="9" spans="1:13">
      <c r="A9" s="16">
        <v>45413</v>
      </c>
      <c r="B9" s="1">
        <v>27000</v>
      </c>
      <c r="C9" s="1">
        <v>0</v>
      </c>
      <c r="D9" s="1">
        <v>15000</v>
      </c>
      <c r="E9" s="1">
        <v>15000</v>
      </c>
      <c r="F9" s="1">
        <f>B9-E9-C9</f>
        <v>12000</v>
      </c>
      <c r="G9" s="1">
        <v>15000</v>
      </c>
      <c r="I9" s="1">
        <f>(I8+C9)-(E9+F9)</f>
        <v>666779</v>
      </c>
      <c r="J9" s="37"/>
      <c r="M9" s="1"/>
    </row>
    <row r="10" spans="1:13">
      <c r="A10" s="16">
        <v>45428</v>
      </c>
      <c r="C10" s="1">
        <v>2000</v>
      </c>
      <c r="E10" s="1">
        <v>0</v>
      </c>
      <c r="F10" s="1">
        <v>0</v>
      </c>
      <c r="H10" s="1">
        <v>2000</v>
      </c>
      <c r="I10" s="1">
        <f>(I9+C10)-(E10+F10)</f>
        <v>668779</v>
      </c>
      <c r="J10" s="37" t="s">
        <v>13</v>
      </c>
      <c r="M10" s="1"/>
    </row>
    <row r="11" spans="1:13">
      <c r="A11" s="16">
        <v>45382</v>
      </c>
      <c r="C11" s="1">
        <v>1000</v>
      </c>
      <c r="E11" s="1">
        <v>0</v>
      </c>
      <c r="F11" s="1">
        <v>0</v>
      </c>
      <c r="H11" s="1">
        <v>1000</v>
      </c>
      <c r="I11" s="1">
        <f>(I10+C11)-(E11+F11)</f>
        <v>669779</v>
      </c>
      <c r="J11" s="37" t="s">
        <v>14</v>
      </c>
      <c r="M11" s="1"/>
    </row>
    <row r="12" spans="1:13">
      <c r="A12" s="16">
        <v>45446</v>
      </c>
      <c r="B12" s="1">
        <v>25000</v>
      </c>
      <c r="C12" s="1">
        <v>0</v>
      </c>
      <c r="D12" s="1">
        <v>15000</v>
      </c>
      <c r="E12" s="1">
        <v>15000</v>
      </c>
      <c r="F12" s="1">
        <f>B12-E12-C12</f>
        <v>10000</v>
      </c>
      <c r="G12" s="1">
        <v>15000</v>
      </c>
      <c r="I12" s="1">
        <f>(I11+C12)-(E12+F12)</f>
        <v>644779</v>
      </c>
      <c r="J12" s="37"/>
      <c r="M12" s="1"/>
    </row>
    <row r="13" spans="1:13">
      <c r="A13" s="16">
        <v>45475</v>
      </c>
      <c r="B13" s="1">
        <v>15000</v>
      </c>
      <c r="C13" s="1">
        <v>0</v>
      </c>
      <c r="D13" s="1">
        <v>15000</v>
      </c>
      <c r="E13" s="1">
        <v>15000</v>
      </c>
      <c r="F13" s="1">
        <f>B13-E13-C13</f>
        <v>0</v>
      </c>
      <c r="G13" s="1">
        <v>15000</v>
      </c>
      <c r="I13" s="1">
        <f>(I12+C13)-(E13+F13)</f>
        <v>629779</v>
      </c>
      <c r="J13" s="37"/>
      <c r="M13" s="1"/>
    </row>
    <row r="14" spans="1:13">
      <c r="A14" s="16">
        <v>45505</v>
      </c>
      <c r="B14" s="1">
        <v>22000</v>
      </c>
      <c r="C14" s="1">
        <v>0</v>
      </c>
      <c r="D14" s="1">
        <v>15000</v>
      </c>
      <c r="E14" s="1">
        <v>15000</v>
      </c>
      <c r="F14" s="1">
        <f>B14-E14-C14</f>
        <v>7000</v>
      </c>
      <c r="G14" s="1">
        <v>15000</v>
      </c>
      <c r="I14" s="1">
        <f>(I13+C14)-(E14+F14)</f>
        <v>607779</v>
      </c>
      <c r="J14" s="37"/>
      <c r="M14" s="1"/>
    </row>
    <row r="15" spans="1:13">
      <c r="A15" s="16">
        <v>45537</v>
      </c>
      <c r="B15" s="1">
        <v>15000</v>
      </c>
      <c r="C15" s="1">
        <v>0</v>
      </c>
      <c r="D15" s="1">
        <v>15000</v>
      </c>
      <c r="E15" s="1">
        <v>15000</v>
      </c>
      <c r="F15" s="1">
        <f>B15-E15-C15</f>
        <v>0</v>
      </c>
      <c r="G15" s="1">
        <v>15000</v>
      </c>
      <c r="I15" s="1">
        <f>(I14+C15)-(E15+F15)</f>
        <v>592779</v>
      </c>
      <c r="J15" s="37"/>
      <c r="M15" s="1"/>
    </row>
    <row r="16" spans="1:13">
      <c r="A16" s="16">
        <v>45565</v>
      </c>
      <c r="B16" s="1">
        <v>25000</v>
      </c>
      <c r="C16" s="1">
        <v>0</v>
      </c>
      <c r="D16" s="1">
        <v>5307</v>
      </c>
      <c r="E16" s="1">
        <v>5307</v>
      </c>
      <c r="F16" s="1">
        <f>B16-E16-C16</f>
        <v>19693</v>
      </c>
      <c r="G16" s="1">
        <v>15000</v>
      </c>
      <c r="I16" s="1">
        <f>(I15+C16)-(E16+F16)</f>
        <v>567779</v>
      </c>
      <c r="J16" s="37"/>
      <c r="M16" s="1"/>
    </row>
    <row r="17" spans="1:13">
      <c r="A17" s="16">
        <v>45596</v>
      </c>
      <c r="B17" s="1">
        <v>25000</v>
      </c>
      <c r="C17" s="1">
        <v>0</v>
      </c>
      <c r="F17" s="1">
        <f>B17-E17-C17</f>
        <v>25000</v>
      </c>
      <c r="G17" s="1">
        <v>15000</v>
      </c>
      <c r="I17" s="1">
        <f>(I16+C17)-(E17+F17)</f>
        <v>542779</v>
      </c>
      <c r="J17" s="37"/>
      <c r="M17" s="1"/>
    </row>
    <row r="18" spans="1:13">
      <c r="A18" s="16">
        <v>45602</v>
      </c>
      <c r="C18" s="1">
        <v>54000</v>
      </c>
      <c r="F18" s="1">
        <v>0</v>
      </c>
      <c r="H18" s="1">
        <v>54000</v>
      </c>
      <c r="I18" s="1">
        <f>(I17+C18)-(E18+F18)</f>
        <v>596779</v>
      </c>
      <c r="J18" s="37"/>
      <c r="M18" s="1"/>
    </row>
    <row r="19" spans="1:13">
      <c r="A19" s="16">
        <v>45626</v>
      </c>
      <c r="B19" s="1">
        <v>30000</v>
      </c>
      <c r="F19" s="1">
        <v>30000</v>
      </c>
      <c r="G19" s="1">
        <v>15000</v>
      </c>
      <c r="J19" s="37"/>
      <c r="M19" s="1"/>
    </row>
    <row r="20" spans="1:13">
      <c r="A20" s="16">
        <v>45656</v>
      </c>
      <c r="B20" s="1">
        <v>31000</v>
      </c>
      <c r="F20" s="1">
        <v>31000</v>
      </c>
      <c r="G20" s="1">
        <v>15000</v>
      </c>
      <c r="J20" s="37"/>
      <c r="M20" s="1"/>
    </row>
    <row r="21" spans="1:13">
      <c r="A21" s="16">
        <v>45673</v>
      </c>
      <c r="C21" s="1">
        <v>7000</v>
      </c>
      <c r="H21" s="1">
        <v>7000</v>
      </c>
      <c r="J21" s="37" t="s">
        <v>15</v>
      </c>
      <c r="M21" s="1"/>
    </row>
    <row r="22" spans="1:13">
      <c r="A22" s="16">
        <v>45691</v>
      </c>
      <c r="B22" s="1">
        <v>20000</v>
      </c>
      <c r="F22" s="1">
        <v>20000</v>
      </c>
      <c r="G22" s="1">
        <v>15000</v>
      </c>
      <c r="J22" s="37"/>
      <c r="M22" s="1"/>
    </row>
    <row r="23" spans="1:13">
      <c r="A23" s="16">
        <v>45717</v>
      </c>
      <c r="B23" s="1">
        <v>0</v>
      </c>
      <c r="G23" s="1">
        <v>15000</v>
      </c>
      <c r="J23" s="37"/>
      <c r="M23" s="1"/>
    </row>
    <row r="24" spans="1:13">
      <c r="A24" s="16">
        <v>45748</v>
      </c>
      <c r="G24" s="1">
        <v>15000</v>
      </c>
      <c r="J24" s="37"/>
      <c r="M24" s="1"/>
    </row>
    <row r="25" spans="1:13">
      <c r="A25" s="16">
        <v>45778</v>
      </c>
      <c r="B25" s="1">
        <v>15000</v>
      </c>
      <c r="F25" s="1">
        <v>15000</v>
      </c>
      <c r="G25" s="1">
        <v>15000</v>
      </c>
      <c r="J25" s="37" t="s">
        <v>16</v>
      </c>
      <c r="M25" s="1"/>
    </row>
    <row r="26" spans="1:13">
      <c r="A26" s="16">
        <v>45809</v>
      </c>
      <c r="G26" s="1">
        <v>15000</v>
      </c>
      <c r="J26" s="37"/>
      <c r="M26" s="1"/>
    </row>
    <row r="27" spans="1:13">
      <c r="A27" s="16">
        <v>45839</v>
      </c>
      <c r="G27" s="1">
        <v>15000</v>
      </c>
      <c r="J27" s="37"/>
      <c r="M27" s="1"/>
    </row>
    <row r="28" spans="1:13">
      <c r="A28" s="16">
        <v>45862</v>
      </c>
      <c r="H28" s="1">
        <v>85000</v>
      </c>
      <c r="J28" s="37" t="s">
        <v>17</v>
      </c>
      <c r="K28" t="s">
        <v>18</v>
      </c>
      <c r="M28" s="1"/>
    </row>
    <row r="29" spans="1:13">
      <c r="A29" s="16">
        <v>45866</v>
      </c>
      <c r="H29" s="1">
        <v>120000</v>
      </c>
      <c r="J29" s="37" t="s">
        <v>19</v>
      </c>
      <c r="K29" t="s">
        <v>20</v>
      </c>
      <c r="M29" s="1">
        <v>660</v>
      </c>
    </row>
    <row r="30" spans="1:13">
      <c r="A30" s="16">
        <v>45867</v>
      </c>
      <c r="H30" s="1">
        <v>190000</v>
      </c>
      <c r="J30" s="37" t="s">
        <v>21</v>
      </c>
      <c r="K30" t="s">
        <v>22</v>
      </c>
      <c r="M30" s="1">
        <v>200</v>
      </c>
    </row>
    <row r="31" spans="1:13" ht="27.75">
      <c r="A31" s="16">
        <v>45867</v>
      </c>
      <c r="H31" s="1">
        <v>9000</v>
      </c>
      <c r="J31" s="37" t="s">
        <v>23</v>
      </c>
      <c r="M31" s="1"/>
    </row>
    <row r="32" spans="1:13">
      <c r="A32" s="16">
        <v>45870</v>
      </c>
      <c r="G32" s="1">
        <v>15000</v>
      </c>
      <c r="J32" s="37"/>
      <c r="M32" s="1"/>
    </row>
    <row r="33" spans="1:13">
      <c r="A33" s="16">
        <v>45901</v>
      </c>
      <c r="G33" s="1">
        <v>15000</v>
      </c>
      <c r="J33" s="37"/>
      <c r="M33" s="1"/>
    </row>
    <row r="34" spans="1:13">
      <c r="A34" s="16">
        <v>45905</v>
      </c>
      <c r="H34" s="1">
        <v>54058</v>
      </c>
      <c r="J34" s="37" t="s">
        <v>24</v>
      </c>
      <c r="M34" s="1"/>
    </row>
    <row r="35" spans="1:13">
      <c r="A35" s="16">
        <v>45921</v>
      </c>
      <c r="H35" s="1">
        <v>5000</v>
      </c>
      <c r="J35" s="37" t="s">
        <v>25</v>
      </c>
      <c r="M35" s="1"/>
    </row>
    <row r="36" spans="1:13">
      <c r="A36" s="16">
        <v>45931</v>
      </c>
      <c r="G36" s="1">
        <v>15000</v>
      </c>
      <c r="J36" s="37"/>
      <c r="M36" s="1"/>
    </row>
    <row r="37" spans="1:13">
      <c r="A37" s="16">
        <v>45962</v>
      </c>
      <c r="G37" s="1">
        <v>15000</v>
      </c>
      <c r="J37" s="37"/>
      <c r="M37" s="1"/>
    </row>
    <row r="38" spans="1:13">
      <c r="A38" s="16">
        <v>45992</v>
      </c>
      <c r="G38" s="1">
        <v>15000</v>
      </c>
      <c r="J38" s="37"/>
      <c r="M38" s="1"/>
    </row>
    <row r="39" spans="1:13">
      <c r="A39" s="16">
        <v>46023</v>
      </c>
      <c r="G39" s="1">
        <v>15000</v>
      </c>
      <c r="J39" s="37"/>
      <c r="M39" s="1"/>
    </row>
    <row r="40" spans="1:13">
      <c r="A40" s="16">
        <v>46054</v>
      </c>
      <c r="G40" s="1">
        <v>15000</v>
      </c>
      <c r="J40" s="37"/>
      <c r="M40" s="1"/>
    </row>
    <row r="41" spans="1:13">
      <c r="A41" s="16">
        <v>46082</v>
      </c>
      <c r="G41" s="1">
        <v>15000</v>
      </c>
      <c r="J41" s="37"/>
      <c r="M41" s="1"/>
    </row>
    <row r="42" spans="1:13">
      <c r="A42" s="16">
        <v>46113</v>
      </c>
      <c r="G42" s="1">
        <v>15000</v>
      </c>
      <c r="J42" s="37"/>
      <c r="M42" s="1"/>
    </row>
    <row r="43" spans="1:13">
      <c r="A43" s="16">
        <v>46143</v>
      </c>
      <c r="G43" s="1">
        <v>15000</v>
      </c>
      <c r="J43" s="37"/>
      <c r="M43" s="1"/>
    </row>
    <row r="44" spans="1:13">
      <c r="A44" s="16">
        <v>46174</v>
      </c>
      <c r="G44" s="1">
        <v>15000</v>
      </c>
      <c r="J44" s="37"/>
      <c r="M44" s="1"/>
    </row>
    <row r="45" spans="1:13">
      <c r="A45" s="16">
        <v>46204</v>
      </c>
      <c r="G45" s="1">
        <v>15000</v>
      </c>
      <c r="J45" s="37"/>
      <c r="M45" s="1"/>
    </row>
    <row r="46" spans="1:13" s="3" customFormat="1">
      <c r="A46" s="19"/>
      <c r="B46" s="4"/>
      <c r="C46" s="4"/>
      <c r="D46" s="20">
        <f>SUM(D2:D18)</f>
        <v>125307</v>
      </c>
      <c r="E46" s="20">
        <f>SUM(E2:E17)</f>
        <v>125307</v>
      </c>
      <c r="F46" s="4">
        <f>SUM(F2:F25)</f>
        <v>184693</v>
      </c>
      <c r="G46" s="21">
        <f>SUM(G2:G45)</f>
        <v>437940</v>
      </c>
      <c r="H46" s="21">
        <f>SUM(H2:H36)</f>
        <v>527058</v>
      </c>
      <c r="I46" s="21"/>
      <c r="J46" s="30"/>
    </row>
    <row r="47" spans="1:13" ht="44.25" customHeight="1">
      <c r="A47" s="22"/>
      <c r="B47" s="23"/>
      <c r="C47" s="24" t="s">
        <v>26</v>
      </c>
      <c r="D47" s="24"/>
      <c r="E47" s="25"/>
      <c r="F47" s="18"/>
      <c r="G47" s="18">
        <f>(G46-F46)</f>
        <v>253247</v>
      </c>
      <c r="H47" s="18">
        <f>SUM(G47+H46)</f>
        <v>780305</v>
      </c>
      <c r="I47" s="18"/>
      <c r="J47" s="31"/>
      <c r="L47">
        <v>85</v>
      </c>
    </row>
    <row r="48" spans="1:13">
      <c r="L48">
        <v>120</v>
      </c>
    </row>
    <row r="49" spans="8:12">
      <c r="L49">
        <v>190</v>
      </c>
    </row>
    <row r="51" spans="8:12">
      <c r="H51" s="1">
        <f>54048*5</f>
        <v>270240</v>
      </c>
      <c r="L51">
        <v>50</v>
      </c>
    </row>
    <row r="52" spans="8:12">
      <c r="H52" s="1">
        <v>90000</v>
      </c>
      <c r="L52">
        <v>130</v>
      </c>
    </row>
    <row r="53" spans="8:12">
      <c r="L53">
        <v>10</v>
      </c>
    </row>
    <row r="54" spans="8:12">
      <c r="H54" s="1">
        <f>SUM(H49:H52)</f>
        <v>360240</v>
      </c>
    </row>
  </sheetData>
  <sortState xmlns:xlrd2="http://schemas.microsoft.com/office/spreadsheetml/2017/richdata2" ref="A3:XFD1048576">
    <sortCondition ref="A3:A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796D-A8ED-48D9-9954-C64D93FA68D8}">
  <dimension ref="A1:D30"/>
  <sheetViews>
    <sheetView workbookViewId="0">
      <selection activeCell="A19" sqref="A19"/>
    </sheetView>
  </sheetViews>
  <sheetFormatPr defaultRowHeight="15"/>
  <cols>
    <col min="1" max="1" width="33.85546875" customWidth="1"/>
    <col min="2" max="2" width="18.28515625" customWidth="1"/>
    <col min="3" max="3" width="25.42578125" customWidth="1"/>
    <col min="4" max="4" width="60.42578125" customWidth="1"/>
  </cols>
  <sheetData>
    <row r="1" spans="1:4" s="13" customFormat="1">
      <c r="A1" s="11" t="s">
        <v>0</v>
      </c>
      <c r="B1" s="12" t="s">
        <v>1</v>
      </c>
      <c r="C1" s="12" t="s">
        <v>2</v>
      </c>
      <c r="D1" s="12" t="s">
        <v>27</v>
      </c>
    </row>
    <row r="2" spans="1:4">
      <c r="A2" s="5"/>
      <c r="B2" s="6">
        <v>100000</v>
      </c>
      <c r="C2" s="6"/>
      <c r="D2" s="7" t="s">
        <v>28</v>
      </c>
    </row>
    <row r="3" spans="1:4">
      <c r="A3" s="5"/>
      <c r="B3" s="6"/>
      <c r="C3" s="36">
        <v>10000</v>
      </c>
      <c r="D3" s="35" t="s">
        <v>29</v>
      </c>
    </row>
    <row r="4" spans="1:4">
      <c r="A4" s="5"/>
      <c r="B4" s="6"/>
      <c r="C4" s="6">
        <v>25000</v>
      </c>
      <c r="D4" s="7" t="s">
        <v>30</v>
      </c>
    </row>
    <row r="5" spans="1:4">
      <c r="A5" s="2">
        <v>45486</v>
      </c>
      <c r="B5">
        <v>5000</v>
      </c>
      <c r="C5" s="6"/>
      <c r="D5" s="8" t="s">
        <v>31</v>
      </c>
    </row>
    <row r="6" spans="1:4">
      <c r="A6" s="2">
        <v>45486</v>
      </c>
      <c r="C6" s="6">
        <v>4000</v>
      </c>
      <c r="D6" s="8" t="s">
        <v>32</v>
      </c>
    </row>
    <row r="7" spans="1:4">
      <c r="A7" s="2">
        <v>45549</v>
      </c>
      <c r="C7" s="6">
        <v>1500</v>
      </c>
      <c r="D7" s="8" t="s">
        <v>33</v>
      </c>
    </row>
    <row r="8" spans="1:4">
      <c r="A8" s="2">
        <v>45557</v>
      </c>
      <c r="C8" s="6">
        <v>2000</v>
      </c>
      <c r="D8" s="8" t="s">
        <v>34</v>
      </c>
    </row>
    <row r="9" spans="1:4">
      <c r="A9" s="2">
        <v>45574</v>
      </c>
      <c r="B9">
        <v>3500</v>
      </c>
      <c r="C9" s="6"/>
      <c r="D9" s="8" t="s">
        <v>35</v>
      </c>
    </row>
    <row r="10" spans="1:4">
      <c r="A10" s="2">
        <v>45600</v>
      </c>
      <c r="C10" s="6">
        <v>50000</v>
      </c>
      <c r="D10" s="8" t="s">
        <v>36</v>
      </c>
    </row>
    <row r="11" spans="1:4">
      <c r="A11" s="2">
        <v>45639</v>
      </c>
      <c r="C11" s="6">
        <v>37000</v>
      </c>
      <c r="D11" s="8" t="s">
        <v>37</v>
      </c>
    </row>
    <row r="12" spans="1:4">
      <c r="A12" s="2">
        <v>45691</v>
      </c>
      <c r="B12">
        <v>30000</v>
      </c>
      <c r="C12" s="6"/>
      <c r="D12" s="8" t="s">
        <v>38</v>
      </c>
    </row>
    <row r="13" spans="1:4">
      <c r="A13" s="2"/>
      <c r="C13" s="6">
        <v>1200</v>
      </c>
      <c r="D13" s="8" t="s">
        <v>39</v>
      </c>
    </row>
    <row r="14" spans="1:4">
      <c r="A14" s="2"/>
      <c r="C14" s="6">
        <v>4000</v>
      </c>
      <c r="D14" s="8" t="s">
        <v>40</v>
      </c>
    </row>
    <row r="15" spans="1:4">
      <c r="A15" s="2"/>
      <c r="C15" s="6"/>
      <c r="D15" s="8" t="s">
        <v>41</v>
      </c>
    </row>
    <row r="16" spans="1:4">
      <c r="A16" s="9"/>
      <c r="B16" s="10">
        <f>SUM(B2:B14)</f>
        <v>138500</v>
      </c>
      <c r="C16" s="10">
        <f>SUM(C2:C14)</f>
        <v>134700</v>
      </c>
      <c r="D16" s="3"/>
    </row>
    <row r="17" spans="1:3">
      <c r="A17" s="2"/>
      <c r="B17" t="s">
        <v>28</v>
      </c>
      <c r="C17" s="34">
        <f>B16-C16</f>
        <v>3800</v>
      </c>
    </row>
    <row r="18" spans="1:3">
      <c r="A18" s="2"/>
    </row>
    <row r="19" spans="1:3">
      <c r="A19" s="2"/>
    </row>
    <row r="20" spans="1:3">
      <c r="A20" s="2"/>
    </row>
    <row r="21" spans="1:3">
      <c r="A21" s="2"/>
    </row>
    <row r="22" spans="1:3">
      <c r="A22" s="2"/>
    </row>
    <row r="23" spans="1:3">
      <c r="A23" s="2"/>
    </row>
    <row r="24" spans="1:3">
      <c r="A24" s="2"/>
    </row>
    <row r="25" spans="1:3">
      <c r="A25" s="2"/>
    </row>
    <row r="26" spans="1:3">
      <c r="A26" s="2"/>
    </row>
    <row r="27" spans="1:3">
      <c r="A27" s="2"/>
    </row>
    <row r="28" spans="1:3">
      <c r="A28" s="2"/>
    </row>
    <row r="29" spans="1:3">
      <c r="A29" s="2"/>
    </row>
    <row r="30" spans="1:3">
      <c r="A3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9510-777C-44FA-8F7B-F43A4A5AB5F4}">
  <dimension ref="A1:D15"/>
  <sheetViews>
    <sheetView workbookViewId="0">
      <selection activeCell="B23" sqref="B23"/>
    </sheetView>
  </sheetViews>
  <sheetFormatPr defaultRowHeight="15"/>
  <cols>
    <col min="1" max="1" width="13" bestFit="1" customWidth="1"/>
    <col min="2" max="2" width="30.28515625" customWidth="1"/>
    <col min="3" max="3" width="34.85546875" customWidth="1"/>
    <col min="4" max="4" width="62.140625" customWidth="1"/>
  </cols>
  <sheetData>
    <row r="1" spans="1:4">
      <c r="A1" s="11" t="s">
        <v>0</v>
      </c>
      <c r="B1" s="12" t="s">
        <v>1</v>
      </c>
      <c r="C1" s="12" t="s">
        <v>2</v>
      </c>
      <c r="D1" s="12" t="s">
        <v>27</v>
      </c>
    </row>
    <row r="2" spans="1:4">
      <c r="A2" s="5"/>
      <c r="B2" s="6">
        <v>0</v>
      </c>
      <c r="C2" s="6"/>
      <c r="D2" s="7" t="s">
        <v>28</v>
      </c>
    </row>
    <row r="3" spans="1:4">
      <c r="A3" s="5">
        <v>45132</v>
      </c>
      <c r="B3" s="6"/>
      <c r="C3" s="6">
        <v>100000</v>
      </c>
      <c r="D3" s="7"/>
    </row>
    <row r="4" spans="1:4">
      <c r="A4" s="5">
        <v>45133</v>
      </c>
      <c r="B4" s="6"/>
      <c r="C4" s="6">
        <v>30000</v>
      </c>
      <c r="D4" s="7" t="s">
        <v>42</v>
      </c>
    </row>
    <row r="5" spans="1:4">
      <c r="A5" s="5"/>
      <c r="B5" s="6"/>
      <c r="C5" s="6"/>
      <c r="D5" s="7"/>
    </row>
    <row r="6" spans="1:4">
      <c r="A6" s="14">
        <v>45238</v>
      </c>
      <c r="B6" s="6">
        <v>30000</v>
      </c>
      <c r="C6" s="6"/>
      <c r="D6" s="7" t="s">
        <v>43</v>
      </c>
    </row>
    <row r="7" spans="1:4">
      <c r="A7" s="14">
        <v>45195</v>
      </c>
      <c r="B7" s="6"/>
      <c r="C7" s="6">
        <v>15000</v>
      </c>
      <c r="D7" s="7" t="s">
        <v>44</v>
      </c>
    </row>
    <row r="8" spans="1:4">
      <c r="A8" s="14">
        <v>45372</v>
      </c>
      <c r="B8" s="6">
        <v>15000</v>
      </c>
      <c r="C8" s="6"/>
      <c r="D8" s="7" t="s">
        <v>43</v>
      </c>
    </row>
    <row r="9" spans="1:4">
      <c r="A9" s="14"/>
      <c r="B9" s="6"/>
      <c r="C9" s="6"/>
      <c r="D9" s="7" t="s">
        <v>45</v>
      </c>
    </row>
    <row r="10" spans="1:4">
      <c r="A10" s="14"/>
      <c r="C10" s="6"/>
      <c r="D10" s="8"/>
    </row>
    <row r="11" spans="1:4">
      <c r="A11" s="14"/>
      <c r="C11" s="6"/>
      <c r="D11" s="8"/>
    </row>
    <row r="12" spans="1:4">
      <c r="A12" s="14"/>
      <c r="C12" s="6"/>
      <c r="D12" s="8"/>
    </row>
    <row r="13" spans="1:4">
      <c r="A13" s="14"/>
      <c r="B13">
        <v>3500</v>
      </c>
      <c r="C13" s="6"/>
      <c r="D13" s="8"/>
    </row>
    <row r="14" spans="1:4">
      <c r="A14" s="9"/>
      <c r="B14" s="10">
        <f>SUM(B2:B13)</f>
        <v>48500</v>
      </c>
      <c r="C14" s="10">
        <f>SUM(C2:C12)</f>
        <v>145000</v>
      </c>
      <c r="D14" s="3"/>
    </row>
    <row r="15" spans="1:4">
      <c r="A15" s="2"/>
      <c r="B15" t="s">
        <v>28</v>
      </c>
      <c r="C15" s="10">
        <f>B14-C14</f>
        <v>-96500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3F5D3-804D-4331-BE30-40437B348060}">
  <dimension ref="A1:D27"/>
  <sheetViews>
    <sheetView workbookViewId="0">
      <selection activeCell="C2" sqref="C2"/>
    </sheetView>
  </sheetViews>
  <sheetFormatPr defaultRowHeight="15"/>
  <cols>
    <col min="2" max="2" width="34" customWidth="1"/>
    <col min="3" max="3" width="22.28515625" customWidth="1"/>
    <col min="4" max="4" width="30.7109375" customWidth="1"/>
  </cols>
  <sheetData>
    <row r="1" spans="1:4">
      <c r="A1" t="s">
        <v>46</v>
      </c>
      <c r="B1" t="s">
        <v>47</v>
      </c>
      <c r="C1" t="s">
        <v>48</v>
      </c>
      <c r="D1" t="s">
        <v>27</v>
      </c>
    </row>
    <row r="2" spans="1:4">
      <c r="B2" t="s">
        <v>49</v>
      </c>
      <c r="C2">
        <v>125000</v>
      </c>
      <c r="D2" t="s">
        <v>50</v>
      </c>
    </row>
    <row r="3" spans="1:4">
      <c r="C3">
        <v>9900</v>
      </c>
      <c r="D3" t="s">
        <v>51</v>
      </c>
    </row>
    <row r="4" spans="1:4">
      <c r="C4">
        <v>10500</v>
      </c>
      <c r="D4" t="s">
        <v>52</v>
      </c>
    </row>
    <row r="5" spans="1:4">
      <c r="C5">
        <v>9500</v>
      </c>
      <c r="D5" t="s">
        <v>53</v>
      </c>
    </row>
    <row r="6" spans="1:4">
      <c r="C6">
        <v>17000</v>
      </c>
      <c r="D6" t="s">
        <v>54</v>
      </c>
    </row>
    <row r="7" spans="1:4">
      <c r="C7">
        <v>1400</v>
      </c>
      <c r="D7" t="s">
        <v>55</v>
      </c>
    </row>
    <row r="8" spans="1:4">
      <c r="C8">
        <v>2200</v>
      </c>
      <c r="D8" t="s">
        <v>56</v>
      </c>
    </row>
    <row r="9" spans="1:4">
      <c r="C9">
        <v>13000</v>
      </c>
      <c r="D9" t="s">
        <v>57</v>
      </c>
    </row>
    <row r="10" spans="1:4">
      <c r="C10">
        <v>15000</v>
      </c>
      <c r="D10" t="s">
        <v>58</v>
      </c>
    </row>
    <row r="11" spans="1:4">
      <c r="C11">
        <v>5000</v>
      </c>
      <c r="D11" t="s">
        <v>59</v>
      </c>
    </row>
    <row r="12" spans="1:4">
      <c r="C12">
        <v>2500</v>
      </c>
      <c r="D12" t="s">
        <v>60</v>
      </c>
    </row>
    <row r="13" spans="1:4">
      <c r="C13">
        <v>1000</v>
      </c>
      <c r="D13" t="s">
        <v>61</v>
      </c>
    </row>
    <row r="14" spans="1:4">
      <c r="C14">
        <v>120000</v>
      </c>
      <c r="D14" t="s">
        <v>62</v>
      </c>
    </row>
    <row r="15" spans="1:4">
      <c r="C15">
        <v>5000</v>
      </c>
      <c r="D15" t="s">
        <v>63</v>
      </c>
    </row>
    <row r="16" spans="1:4">
      <c r="C16">
        <v>150000</v>
      </c>
      <c r="D16" t="s">
        <v>64</v>
      </c>
    </row>
    <row r="17" spans="2:4">
      <c r="C17">
        <v>110000</v>
      </c>
      <c r="D17" t="s">
        <v>65</v>
      </c>
    </row>
    <row r="18" spans="2:4">
      <c r="C18">
        <v>12500</v>
      </c>
      <c r="D18" t="s">
        <v>66</v>
      </c>
    </row>
    <row r="19" spans="2:4">
      <c r="C19">
        <v>16000</v>
      </c>
      <c r="D19" t="s">
        <v>67</v>
      </c>
    </row>
    <row r="20" spans="2:4">
      <c r="C20">
        <v>37500</v>
      </c>
      <c r="D20" t="s">
        <v>68</v>
      </c>
    </row>
    <row r="21" spans="2:4">
      <c r="B21">
        <v>325000</v>
      </c>
    </row>
    <row r="22" spans="2:4">
      <c r="C22">
        <v>71000</v>
      </c>
      <c r="D22" t="s">
        <v>69</v>
      </c>
    </row>
    <row r="23" spans="2:4">
      <c r="C23">
        <v>4500</v>
      </c>
      <c r="D23" t="s">
        <v>70</v>
      </c>
    </row>
    <row r="24" spans="2:4">
      <c r="C24">
        <v>800</v>
      </c>
      <c r="D24" t="s">
        <v>71</v>
      </c>
    </row>
    <row r="25" spans="2:4">
      <c r="C25">
        <v>23500</v>
      </c>
      <c r="D25" t="s">
        <v>72</v>
      </c>
    </row>
    <row r="26" spans="2:4">
      <c r="C26">
        <v>40000</v>
      </c>
      <c r="D26" t="s">
        <v>73</v>
      </c>
    </row>
    <row r="27" spans="2:4">
      <c r="C27">
        <v>4500</v>
      </c>
      <c r="D27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C4394-BBE2-4E73-9BFE-34106121D592}">
  <dimension ref="A1:K24"/>
  <sheetViews>
    <sheetView workbookViewId="0">
      <selection activeCell="B2" sqref="B2"/>
    </sheetView>
  </sheetViews>
  <sheetFormatPr defaultRowHeight="15"/>
  <cols>
    <col min="1" max="1" width="27.7109375" style="38" customWidth="1"/>
    <col min="3" max="3" width="35.42578125" customWidth="1"/>
    <col min="5" max="5" width="11.140625" style="38" bestFit="1" customWidth="1"/>
    <col min="7" max="7" width="19.7109375" customWidth="1"/>
    <col min="9" max="9" width="11.140625" style="38" bestFit="1" customWidth="1"/>
    <col min="10" max="10" width="13.85546875" customWidth="1"/>
    <col min="11" max="11" width="18.42578125" customWidth="1"/>
  </cols>
  <sheetData>
    <row r="1" spans="1:11">
      <c r="A1" s="38" t="s">
        <v>46</v>
      </c>
      <c r="B1" t="s">
        <v>48</v>
      </c>
      <c r="C1" t="s">
        <v>27</v>
      </c>
      <c r="E1" s="38" t="s">
        <v>46</v>
      </c>
      <c r="F1" t="s">
        <v>48</v>
      </c>
      <c r="G1" t="s">
        <v>27</v>
      </c>
      <c r="I1" s="38" t="s">
        <v>46</v>
      </c>
      <c r="J1" t="s">
        <v>48</v>
      </c>
      <c r="K1" t="s">
        <v>27</v>
      </c>
    </row>
    <row r="2" spans="1:11">
      <c r="A2" s="38">
        <v>45996</v>
      </c>
      <c r="B2">
        <v>3000</v>
      </c>
      <c r="C2" t="s">
        <v>75</v>
      </c>
      <c r="E2" s="38">
        <v>45902</v>
      </c>
      <c r="F2">
        <v>1750</v>
      </c>
      <c r="G2" t="s">
        <v>76</v>
      </c>
      <c r="I2" s="38">
        <v>46006</v>
      </c>
      <c r="J2">
        <v>5000</v>
      </c>
      <c r="K2" t="s">
        <v>77</v>
      </c>
    </row>
    <row r="3" spans="1:11">
      <c r="A3" s="38">
        <v>45997</v>
      </c>
      <c r="B3">
        <v>2000</v>
      </c>
      <c r="C3" t="s">
        <v>78</v>
      </c>
      <c r="E3" s="38">
        <v>45905</v>
      </c>
      <c r="F3">
        <v>8960</v>
      </c>
      <c r="G3" t="s">
        <v>79</v>
      </c>
      <c r="I3" s="38">
        <v>46008</v>
      </c>
      <c r="J3">
        <v>5000</v>
      </c>
      <c r="K3" t="s">
        <v>80</v>
      </c>
    </row>
    <row r="4" spans="1:11">
      <c r="A4" s="38">
        <v>46001</v>
      </c>
      <c r="B4">
        <v>1250</v>
      </c>
      <c r="C4" t="s">
        <v>81</v>
      </c>
      <c r="E4" s="38">
        <v>45907</v>
      </c>
      <c r="F4">
        <v>5400</v>
      </c>
      <c r="G4" t="s">
        <v>82</v>
      </c>
      <c r="I4" s="38">
        <v>46012</v>
      </c>
      <c r="J4">
        <v>12324</v>
      </c>
      <c r="K4" t="s">
        <v>83</v>
      </c>
    </row>
    <row r="5" spans="1:11">
      <c r="A5" s="38">
        <v>46001</v>
      </c>
      <c r="B5">
        <v>500</v>
      </c>
      <c r="C5" t="s">
        <v>40</v>
      </c>
      <c r="E5" s="38">
        <v>45907</v>
      </c>
      <c r="F5">
        <v>2700</v>
      </c>
      <c r="G5" t="s">
        <v>84</v>
      </c>
      <c r="I5" s="38">
        <v>46014</v>
      </c>
      <c r="J5">
        <v>6000</v>
      </c>
      <c r="K5" t="s">
        <v>85</v>
      </c>
    </row>
    <row r="6" spans="1:11">
      <c r="A6" s="38">
        <v>46005</v>
      </c>
      <c r="B6">
        <v>6000</v>
      </c>
      <c r="C6" t="s">
        <v>86</v>
      </c>
      <c r="E6" s="38">
        <v>45908</v>
      </c>
      <c r="F6">
        <v>5400</v>
      </c>
      <c r="G6" t="s">
        <v>84</v>
      </c>
      <c r="I6" s="38">
        <v>46014</v>
      </c>
      <c r="J6">
        <v>20000</v>
      </c>
      <c r="K6" t="s">
        <v>87</v>
      </c>
    </row>
    <row r="7" spans="1:11">
      <c r="A7" s="38">
        <v>46006</v>
      </c>
      <c r="B7">
        <v>4500</v>
      </c>
      <c r="C7" t="s">
        <v>49</v>
      </c>
      <c r="E7" s="38">
        <v>45910</v>
      </c>
      <c r="F7">
        <v>4500</v>
      </c>
      <c r="G7" t="s">
        <v>84</v>
      </c>
      <c r="I7" s="38">
        <v>46015</v>
      </c>
      <c r="J7">
        <v>6000</v>
      </c>
      <c r="K7" t="s">
        <v>88</v>
      </c>
    </row>
    <row r="8" spans="1:11">
      <c r="A8" s="38">
        <v>46006</v>
      </c>
      <c r="B8">
        <v>2700</v>
      </c>
      <c r="C8" t="s">
        <v>89</v>
      </c>
      <c r="E8" s="38">
        <v>45911</v>
      </c>
      <c r="F8">
        <v>4500</v>
      </c>
      <c r="G8" t="s">
        <v>84</v>
      </c>
      <c r="I8" s="38">
        <v>46016</v>
      </c>
      <c r="J8">
        <v>6000</v>
      </c>
      <c r="K8" t="s">
        <v>90</v>
      </c>
    </row>
    <row r="9" spans="1:11">
      <c r="E9" s="38">
        <v>45911</v>
      </c>
      <c r="F9">
        <v>1300</v>
      </c>
      <c r="G9" t="s">
        <v>91</v>
      </c>
      <c r="I9" s="38">
        <v>46017</v>
      </c>
      <c r="J9">
        <v>12000</v>
      </c>
      <c r="K9" t="s">
        <v>92</v>
      </c>
    </row>
    <row r="10" spans="1:11">
      <c r="A10" s="38">
        <v>46018</v>
      </c>
      <c r="B10">
        <v>6350</v>
      </c>
      <c r="C10" t="s">
        <v>93</v>
      </c>
      <c r="E10" s="38">
        <v>45916</v>
      </c>
      <c r="F10">
        <v>15500</v>
      </c>
      <c r="G10" t="s">
        <v>94</v>
      </c>
      <c r="I10" s="38">
        <v>46018</v>
      </c>
      <c r="J10">
        <v>15000</v>
      </c>
      <c r="K10" t="s">
        <v>95</v>
      </c>
    </row>
    <row r="11" spans="1:11">
      <c r="A11" s="38">
        <v>46018</v>
      </c>
      <c r="B11">
        <v>5000</v>
      </c>
      <c r="C11" t="s">
        <v>96</v>
      </c>
      <c r="E11" s="38">
        <v>45916</v>
      </c>
      <c r="F11">
        <v>1000</v>
      </c>
      <c r="G11" t="s">
        <v>97</v>
      </c>
      <c r="I11" s="38">
        <v>46011</v>
      </c>
      <c r="J11">
        <v>8300</v>
      </c>
      <c r="K11" t="s">
        <v>98</v>
      </c>
    </row>
    <row r="12" spans="1:11">
      <c r="E12" s="38">
        <v>45920</v>
      </c>
      <c r="F12">
        <v>7000</v>
      </c>
      <c r="G12" t="s">
        <v>99</v>
      </c>
      <c r="I12" s="38">
        <v>46018</v>
      </c>
      <c r="J12">
        <v>3500</v>
      </c>
      <c r="K12" t="s">
        <v>100</v>
      </c>
    </row>
    <row r="13" spans="1:11">
      <c r="E13" s="38">
        <v>45916</v>
      </c>
      <c r="F13">
        <v>50000</v>
      </c>
      <c r="G13" t="s">
        <v>101</v>
      </c>
      <c r="I13" s="38">
        <v>46022</v>
      </c>
      <c r="J13">
        <v>7000</v>
      </c>
      <c r="K13" t="s">
        <v>102</v>
      </c>
    </row>
    <row r="14" spans="1:11">
      <c r="E14" s="38">
        <v>45936</v>
      </c>
      <c r="F14">
        <v>25000</v>
      </c>
      <c r="G14" t="s">
        <v>82</v>
      </c>
    </row>
    <row r="15" spans="1:11">
      <c r="E15" s="38">
        <v>45938</v>
      </c>
      <c r="F15">
        <v>25000</v>
      </c>
      <c r="G15" t="s">
        <v>82</v>
      </c>
    </row>
    <row r="16" spans="1:11">
      <c r="E16" s="38">
        <v>45983</v>
      </c>
      <c r="F16">
        <v>500</v>
      </c>
      <c r="G16" t="s">
        <v>94</v>
      </c>
    </row>
    <row r="17" spans="5:7">
      <c r="E17" s="38">
        <v>45983</v>
      </c>
      <c r="F17">
        <v>2000</v>
      </c>
      <c r="G17" t="s">
        <v>103</v>
      </c>
    </row>
    <row r="18" spans="5:7">
      <c r="E18" s="38">
        <v>45983</v>
      </c>
      <c r="F18">
        <v>5000</v>
      </c>
      <c r="G18" t="s">
        <v>104</v>
      </c>
    </row>
    <row r="19" spans="5:7">
      <c r="E19" s="38">
        <v>45984</v>
      </c>
      <c r="F19">
        <v>6500</v>
      </c>
      <c r="G19" t="s">
        <v>104</v>
      </c>
    </row>
    <row r="20" spans="5:7">
      <c r="E20" s="38">
        <v>45989</v>
      </c>
      <c r="F20">
        <v>12500</v>
      </c>
      <c r="G20" t="s">
        <v>105</v>
      </c>
    </row>
    <row r="21" spans="5:7">
      <c r="E21" s="38">
        <v>45989</v>
      </c>
      <c r="F21">
        <v>500</v>
      </c>
      <c r="G21" t="s">
        <v>106</v>
      </c>
    </row>
    <row r="22" spans="5:7">
      <c r="E22" s="38">
        <v>45989</v>
      </c>
      <c r="F22">
        <v>1000</v>
      </c>
      <c r="G22" t="s">
        <v>107</v>
      </c>
    </row>
    <row r="23" spans="5:7">
      <c r="E23" s="38">
        <v>45990</v>
      </c>
      <c r="F23">
        <v>2662</v>
      </c>
      <c r="G23" t="s">
        <v>108</v>
      </c>
    </row>
    <row r="24" spans="5:7">
      <c r="E24" s="38">
        <v>45990</v>
      </c>
      <c r="F24">
        <v>50000</v>
      </c>
      <c r="G24" t="s">
        <v>109</v>
      </c>
    </row>
  </sheetData>
  <sortState xmlns:xlrd2="http://schemas.microsoft.com/office/spreadsheetml/2017/richdata2" ref="I2:K10">
    <sortCondition ref="I2:I1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58767-54B4-4F18-9B0B-7CD169DE7ACE}">
  <dimension ref="A1:F274"/>
  <sheetViews>
    <sheetView tabSelected="1" topLeftCell="A249" workbookViewId="0">
      <selection activeCell="B277" sqref="B277"/>
    </sheetView>
  </sheetViews>
  <sheetFormatPr defaultColWidth="9.140625" defaultRowHeight="15"/>
  <cols>
    <col min="1" max="1" width="25.42578125" style="38" customWidth="1"/>
    <col min="2" max="2" width="17.85546875" customWidth="1"/>
    <col min="3" max="4" width="9.140625" bestFit="1" customWidth="1"/>
    <col min="5" max="5" width="10" style="39" bestFit="1" customWidth="1"/>
    <col min="6" max="6" width="53.85546875" customWidth="1"/>
  </cols>
  <sheetData>
    <row r="1" spans="1:6">
      <c r="A1" s="38" t="s">
        <v>46</v>
      </c>
      <c r="B1" t="s">
        <v>110</v>
      </c>
      <c r="C1" t="s">
        <v>111</v>
      </c>
      <c r="D1" t="s">
        <v>48</v>
      </c>
      <c r="E1" s="39" t="s">
        <v>112</v>
      </c>
      <c r="F1" t="s">
        <v>113</v>
      </c>
    </row>
    <row r="2" spans="1:6">
      <c r="A2" s="38">
        <v>45735</v>
      </c>
      <c r="B2" t="s">
        <v>114</v>
      </c>
      <c r="C2" t="s">
        <v>115</v>
      </c>
      <c r="D2">
        <v>2500</v>
      </c>
      <c r="E2" s="39">
        <v>45689</v>
      </c>
    </row>
    <row r="3" spans="1:6">
      <c r="A3" s="38">
        <v>45717</v>
      </c>
      <c r="B3" t="s">
        <v>116</v>
      </c>
      <c r="C3" t="s">
        <v>117</v>
      </c>
      <c r="D3">
        <v>2500</v>
      </c>
      <c r="E3" s="39">
        <v>45717</v>
      </c>
    </row>
    <row r="4" spans="1:6">
      <c r="A4" s="38">
        <v>45717</v>
      </c>
      <c r="B4" t="s">
        <v>118</v>
      </c>
      <c r="C4" t="s">
        <v>119</v>
      </c>
      <c r="D4">
        <v>2500</v>
      </c>
      <c r="E4" s="39">
        <v>45717</v>
      </c>
    </row>
    <row r="5" spans="1:6">
      <c r="A5" s="38">
        <v>45717</v>
      </c>
      <c r="B5" t="s">
        <v>120</v>
      </c>
      <c r="C5" t="s">
        <v>121</v>
      </c>
      <c r="D5">
        <v>2500</v>
      </c>
      <c r="E5" s="39">
        <v>45717</v>
      </c>
    </row>
    <row r="6" spans="1:6">
      <c r="A6" s="38">
        <v>45717</v>
      </c>
      <c r="B6" t="s">
        <v>122</v>
      </c>
      <c r="C6" t="s">
        <v>123</v>
      </c>
      <c r="D6">
        <v>2500</v>
      </c>
      <c r="E6" s="39">
        <v>45717</v>
      </c>
    </row>
    <row r="7" spans="1:6">
      <c r="A7" s="38">
        <v>45717</v>
      </c>
      <c r="B7" t="s">
        <v>124</v>
      </c>
      <c r="C7" t="s">
        <v>125</v>
      </c>
      <c r="D7">
        <v>2500</v>
      </c>
      <c r="E7" s="39">
        <v>45717</v>
      </c>
    </row>
    <row r="8" spans="1:6">
      <c r="A8" s="38">
        <v>45717</v>
      </c>
      <c r="B8" t="s">
        <v>126</v>
      </c>
      <c r="C8" t="s">
        <v>127</v>
      </c>
      <c r="D8">
        <v>2500</v>
      </c>
      <c r="E8" s="39">
        <v>45717</v>
      </c>
    </row>
    <row r="9" spans="1:6">
      <c r="A9" s="38">
        <v>45718</v>
      </c>
      <c r="B9" t="s">
        <v>128</v>
      </c>
      <c r="C9" t="s">
        <v>129</v>
      </c>
      <c r="D9">
        <v>2500</v>
      </c>
      <c r="E9" s="39">
        <v>45717</v>
      </c>
    </row>
    <row r="10" spans="1:6">
      <c r="A10" s="38">
        <v>45718</v>
      </c>
      <c r="B10" t="s">
        <v>130</v>
      </c>
      <c r="C10" t="s">
        <v>131</v>
      </c>
      <c r="D10">
        <v>2500</v>
      </c>
      <c r="E10" s="39">
        <v>45717</v>
      </c>
    </row>
    <row r="11" spans="1:6">
      <c r="A11" s="38">
        <v>45720</v>
      </c>
      <c r="B11" t="s">
        <v>132</v>
      </c>
      <c r="C11" t="s">
        <v>133</v>
      </c>
      <c r="D11">
        <v>2500</v>
      </c>
      <c r="E11" s="39">
        <v>45717</v>
      </c>
    </row>
    <row r="12" spans="1:6">
      <c r="A12" s="38">
        <v>45723</v>
      </c>
      <c r="B12" t="s">
        <v>134</v>
      </c>
      <c r="C12" t="s">
        <v>135</v>
      </c>
      <c r="D12">
        <v>2500</v>
      </c>
      <c r="E12" s="39">
        <v>45717</v>
      </c>
    </row>
    <row r="13" spans="1:6">
      <c r="A13" s="38">
        <v>45725</v>
      </c>
      <c r="B13" t="s">
        <v>136</v>
      </c>
      <c r="C13" t="s">
        <v>137</v>
      </c>
      <c r="D13">
        <v>2500</v>
      </c>
      <c r="E13" s="39">
        <v>45717</v>
      </c>
    </row>
    <row r="14" spans="1:6">
      <c r="A14" s="38">
        <v>45726</v>
      </c>
      <c r="B14" t="s">
        <v>138</v>
      </c>
      <c r="C14" t="s">
        <v>139</v>
      </c>
      <c r="D14">
        <v>2500</v>
      </c>
      <c r="E14" s="39">
        <v>45717</v>
      </c>
    </row>
    <row r="15" spans="1:6">
      <c r="A15" s="38">
        <v>45726</v>
      </c>
      <c r="B15" t="s">
        <v>140</v>
      </c>
      <c r="C15" t="s">
        <v>141</v>
      </c>
      <c r="D15">
        <v>2500</v>
      </c>
      <c r="E15" s="39">
        <v>45717</v>
      </c>
    </row>
    <row r="16" spans="1:6">
      <c r="A16" s="38">
        <v>45726</v>
      </c>
      <c r="B16" t="s">
        <v>142</v>
      </c>
      <c r="C16" t="s">
        <v>143</v>
      </c>
      <c r="D16">
        <v>2500</v>
      </c>
      <c r="E16" s="39">
        <v>45717</v>
      </c>
    </row>
    <row r="17" spans="1:6">
      <c r="A17" s="38">
        <v>45728</v>
      </c>
      <c r="B17" t="s">
        <v>144</v>
      </c>
      <c r="C17" t="s">
        <v>145</v>
      </c>
      <c r="D17">
        <v>2500</v>
      </c>
      <c r="E17" s="39">
        <v>45717</v>
      </c>
    </row>
    <row r="18" spans="1:6">
      <c r="A18" s="38">
        <v>45728</v>
      </c>
      <c r="B18" t="s">
        <v>146</v>
      </c>
      <c r="C18" t="s">
        <v>147</v>
      </c>
      <c r="D18">
        <v>2500</v>
      </c>
      <c r="E18" s="39">
        <v>45717</v>
      </c>
    </row>
    <row r="19" spans="1:6">
      <c r="A19" s="38">
        <v>45729</v>
      </c>
      <c r="B19" t="s">
        <v>148</v>
      </c>
      <c r="C19" t="s">
        <v>149</v>
      </c>
      <c r="D19">
        <v>2500</v>
      </c>
      <c r="E19" s="39">
        <v>45717</v>
      </c>
    </row>
    <row r="20" spans="1:6">
      <c r="A20" s="38">
        <v>45729</v>
      </c>
      <c r="B20" t="s">
        <v>150</v>
      </c>
      <c r="C20" t="s">
        <v>151</v>
      </c>
      <c r="D20">
        <v>2500</v>
      </c>
      <c r="E20" s="39">
        <v>45717</v>
      </c>
    </row>
    <row r="21" spans="1:6">
      <c r="A21" s="38">
        <v>45729</v>
      </c>
      <c r="B21" t="s">
        <v>152</v>
      </c>
      <c r="C21" t="s">
        <v>153</v>
      </c>
      <c r="D21">
        <v>2500</v>
      </c>
      <c r="E21" s="39">
        <v>45717</v>
      </c>
    </row>
    <row r="22" spans="1:6">
      <c r="A22" s="38">
        <v>45745</v>
      </c>
      <c r="B22" t="s">
        <v>154</v>
      </c>
      <c r="C22" t="s">
        <v>155</v>
      </c>
      <c r="D22">
        <v>2500</v>
      </c>
      <c r="E22" s="39">
        <v>45717</v>
      </c>
    </row>
    <row r="23" spans="1:6">
      <c r="A23" s="38">
        <v>45945</v>
      </c>
      <c r="B23" t="s">
        <v>114</v>
      </c>
      <c r="C23" t="s">
        <v>115</v>
      </c>
      <c r="D23">
        <v>2500</v>
      </c>
      <c r="E23" s="39">
        <v>45717</v>
      </c>
      <c r="F23" t="s">
        <v>156</v>
      </c>
    </row>
    <row r="24" spans="1:6">
      <c r="A24" s="38">
        <v>45748</v>
      </c>
      <c r="B24" t="s">
        <v>157</v>
      </c>
      <c r="C24" t="s">
        <v>158</v>
      </c>
      <c r="D24">
        <v>2500</v>
      </c>
      <c r="E24" s="39">
        <v>45747</v>
      </c>
      <c r="F24" t="s">
        <v>159</v>
      </c>
    </row>
    <row r="25" spans="1:6">
      <c r="A25" s="38">
        <v>45772</v>
      </c>
      <c r="B25" t="s">
        <v>160</v>
      </c>
      <c r="C25" t="s">
        <v>161</v>
      </c>
      <c r="D25">
        <v>2500</v>
      </c>
      <c r="E25" s="39">
        <v>45747</v>
      </c>
    </row>
    <row r="26" spans="1:6">
      <c r="A26" s="38">
        <v>45772</v>
      </c>
      <c r="B26" t="s">
        <v>162</v>
      </c>
      <c r="C26" t="s">
        <v>163</v>
      </c>
      <c r="D26">
        <v>2500</v>
      </c>
      <c r="E26" s="39">
        <v>45747</v>
      </c>
    </row>
    <row r="27" spans="1:6">
      <c r="A27" s="38">
        <v>45747</v>
      </c>
      <c r="B27" t="s">
        <v>130</v>
      </c>
      <c r="C27" t="s">
        <v>131</v>
      </c>
      <c r="D27">
        <v>2500</v>
      </c>
      <c r="E27" s="39">
        <v>45748</v>
      </c>
    </row>
    <row r="28" spans="1:6">
      <c r="A28" s="38">
        <v>45748</v>
      </c>
      <c r="B28" t="s">
        <v>118</v>
      </c>
      <c r="C28" t="s">
        <v>119</v>
      </c>
      <c r="D28">
        <v>2500</v>
      </c>
      <c r="E28" s="39">
        <v>45748</v>
      </c>
    </row>
    <row r="29" spans="1:6">
      <c r="A29" s="38">
        <v>45748</v>
      </c>
      <c r="B29" t="s">
        <v>157</v>
      </c>
      <c r="C29" t="s">
        <v>158</v>
      </c>
      <c r="D29">
        <v>2500</v>
      </c>
      <c r="E29" s="39">
        <v>45748</v>
      </c>
      <c r="F29" t="s">
        <v>159</v>
      </c>
    </row>
    <row r="30" spans="1:6">
      <c r="A30" s="38">
        <v>45748</v>
      </c>
      <c r="B30" t="s">
        <v>122</v>
      </c>
      <c r="C30" t="s">
        <v>123</v>
      </c>
      <c r="D30">
        <v>2500</v>
      </c>
      <c r="E30" s="39">
        <v>45748</v>
      </c>
    </row>
    <row r="31" spans="1:6">
      <c r="A31" s="38">
        <v>45748</v>
      </c>
      <c r="B31" t="s">
        <v>124</v>
      </c>
      <c r="C31" t="s">
        <v>125</v>
      </c>
      <c r="D31">
        <v>2500</v>
      </c>
      <c r="E31" s="39">
        <v>45748</v>
      </c>
    </row>
    <row r="32" spans="1:6">
      <c r="A32" s="38">
        <v>45749</v>
      </c>
      <c r="B32" t="s">
        <v>120</v>
      </c>
      <c r="C32" t="s">
        <v>121</v>
      </c>
      <c r="D32">
        <v>2500</v>
      </c>
      <c r="E32" s="39">
        <v>45748</v>
      </c>
    </row>
    <row r="33" spans="1:6">
      <c r="A33" s="38">
        <v>45750</v>
      </c>
      <c r="B33" t="s">
        <v>132</v>
      </c>
      <c r="C33" t="s">
        <v>133</v>
      </c>
      <c r="D33">
        <v>2500</v>
      </c>
      <c r="E33" s="39">
        <v>45748</v>
      </c>
    </row>
    <row r="34" spans="1:6">
      <c r="A34" s="38">
        <v>45751</v>
      </c>
      <c r="B34" t="s">
        <v>140</v>
      </c>
      <c r="C34" t="s">
        <v>141</v>
      </c>
      <c r="D34">
        <v>2500</v>
      </c>
      <c r="E34" s="39">
        <v>45748</v>
      </c>
    </row>
    <row r="35" spans="1:6">
      <c r="A35" s="38">
        <v>45754</v>
      </c>
      <c r="B35" t="s">
        <v>150</v>
      </c>
      <c r="C35" t="s">
        <v>151</v>
      </c>
      <c r="D35">
        <v>2500</v>
      </c>
      <c r="E35" s="39">
        <v>45748</v>
      </c>
    </row>
    <row r="36" spans="1:6">
      <c r="A36" s="38">
        <v>45754</v>
      </c>
      <c r="B36" t="s">
        <v>134</v>
      </c>
      <c r="C36" t="s">
        <v>135</v>
      </c>
      <c r="D36">
        <v>2500</v>
      </c>
      <c r="E36" s="39">
        <v>45748</v>
      </c>
    </row>
    <row r="37" spans="1:6">
      <c r="A37" s="38">
        <v>45755</v>
      </c>
      <c r="B37" t="s">
        <v>116</v>
      </c>
      <c r="C37" t="s">
        <v>117</v>
      </c>
      <c r="D37">
        <v>2500</v>
      </c>
      <c r="E37" s="39">
        <v>45748</v>
      </c>
    </row>
    <row r="38" spans="1:6">
      <c r="A38" s="38">
        <v>45756</v>
      </c>
      <c r="B38" t="s">
        <v>136</v>
      </c>
      <c r="C38" t="s">
        <v>137</v>
      </c>
      <c r="D38">
        <v>2500</v>
      </c>
      <c r="E38" s="39">
        <v>45748</v>
      </c>
    </row>
    <row r="39" spans="1:6">
      <c r="A39" s="38">
        <v>45757</v>
      </c>
      <c r="B39" t="s">
        <v>138</v>
      </c>
      <c r="C39" t="s">
        <v>139</v>
      </c>
      <c r="D39">
        <v>2500</v>
      </c>
      <c r="E39" s="39">
        <v>45748</v>
      </c>
    </row>
    <row r="40" spans="1:6">
      <c r="A40" s="38">
        <v>45757</v>
      </c>
      <c r="B40" t="s">
        <v>142</v>
      </c>
      <c r="C40" t="s">
        <v>143</v>
      </c>
      <c r="D40">
        <v>2500</v>
      </c>
      <c r="E40" s="39">
        <v>45748</v>
      </c>
    </row>
    <row r="41" spans="1:6">
      <c r="A41" s="38">
        <v>45757</v>
      </c>
      <c r="B41" t="s">
        <v>128</v>
      </c>
      <c r="C41" t="s">
        <v>129</v>
      </c>
      <c r="D41">
        <v>2500</v>
      </c>
      <c r="E41" s="39">
        <v>45748</v>
      </c>
    </row>
    <row r="42" spans="1:6">
      <c r="A42" s="38">
        <v>45758</v>
      </c>
      <c r="B42" t="s">
        <v>148</v>
      </c>
      <c r="C42" t="s">
        <v>149</v>
      </c>
      <c r="D42">
        <v>2500</v>
      </c>
      <c r="E42" s="39">
        <v>45748</v>
      </c>
    </row>
    <row r="43" spans="1:6">
      <c r="A43" s="38">
        <v>45758</v>
      </c>
      <c r="B43" t="s">
        <v>146</v>
      </c>
      <c r="C43" t="s">
        <v>147</v>
      </c>
      <c r="D43">
        <v>2500</v>
      </c>
      <c r="E43" s="39">
        <v>45748</v>
      </c>
    </row>
    <row r="44" spans="1:6">
      <c r="A44" s="38">
        <v>45760</v>
      </c>
      <c r="B44" t="s">
        <v>126</v>
      </c>
      <c r="C44" t="s">
        <v>127</v>
      </c>
      <c r="D44">
        <v>2500</v>
      </c>
      <c r="E44" s="39">
        <v>45748</v>
      </c>
    </row>
    <row r="45" spans="1:6">
      <c r="A45" s="38">
        <v>45772</v>
      </c>
      <c r="B45" t="s">
        <v>160</v>
      </c>
      <c r="C45" t="s">
        <v>161</v>
      </c>
      <c r="D45">
        <v>2500</v>
      </c>
      <c r="E45" s="39">
        <v>45748</v>
      </c>
    </row>
    <row r="46" spans="1:6">
      <c r="A46" s="38">
        <v>45772</v>
      </c>
      <c r="B46" t="s">
        <v>162</v>
      </c>
      <c r="C46" t="s">
        <v>163</v>
      </c>
      <c r="D46">
        <v>2500</v>
      </c>
      <c r="E46" s="39">
        <v>45748</v>
      </c>
    </row>
    <row r="47" spans="1:6">
      <c r="A47" s="38">
        <v>45773</v>
      </c>
      <c r="B47" t="s">
        <v>144</v>
      </c>
      <c r="C47" t="s">
        <v>145</v>
      </c>
      <c r="D47">
        <v>2500</v>
      </c>
      <c r="E47" s="39">
        <v>45748</v>
      </c>
    </row>
    <row r="48" spans="1:6">
      <c r="A48" s="38">
        <v>45808</v>
      </c>
      <c r="B48" t="s">
        <v>164</v>
      </c>
      <c r="C48" t="s">
        <v>155</v>
      </c>
      <c r="D48">
        <v>2500</v>
      </c>
      <c r="E48" s="39">
        <v>45748</v>
      </c>
      <c r="F48" t="s">
        <v>165</v>
      </c>
    </row>
    <row r="49" spans="1:6">
      <c r="A49" s="38">
        <v>45877</v>
      </c>
      <c r="B49" t="s">
        <v>152</v>
      </c>
      <c r="C49" t="s">
        <v>153</v>
      </c>
      <c r="D49">
        <v>2500</v>
      </c>
      <c r="E49" s="39">
        <v>45748</v>
      </c>
      <c r="F49" t="s">
        <v>166</v>
      </c>
    </row>
    <row r="50" spans="1:6">
      <c r="A50" s="38">
        <v>45945</v>
      </c>
      <c r="B50" t="s">
        <v>114</v>
      </c>
      <c r="C50" t="s">
        <v>115</v>
      </c>
      <c r="D50">
        <v>2500</v>
      </c>
      <c r="E50" s="39">
        <v>45748</v>
      </c>
      <c r="F50" t="s">
        <v>156</v>
      </c>
    </row>
    <row r="51" spans="1:6">
      <c r="A51" s="38">
        <v>45777</v>
      </c>
      <c r="B51" t="s">
        <v>126</v>
      </c>
      <c r="C51" t="s">
        <v>127</v>
      </c>
      <c r="D51">
        <v>2500</v>
      </c>
      <c r="E51" s="39">
        <v>45778</v>
      </c>
    </row>
    <row r="52" spans="1:6">
      <c r="A52" s="38">
        <v>45778</v>
      </c>
      <c r="B52" t="s">
        <v>118</v>
      </c>
      <c r="C52" t="s">
        <v>119</v>
      </c>
      <c r="D52">
        <v>2500</v>
      </c>
      <c r="E52" s="39">
        <v>45778</v>
      </c>
    </row>
    <row r="53" spans="1:6">
      <c r="A53" s="38">
        <v>45778</v>
      </c>
      <c r="B53" t="s">
        <v>130</v>
      </c>
      <c r="C53" t="s">
        <v>131</v>
      </c>
      <c r="D53">
        <v>2500</v>
      </c>
      <c r="E53" s="39">
        <v>45778</v>
      </c>
    </row>
    <row r="54" spans="1:6">
      <c r="A54" s="38">
        <v>45778</v>
      </c>
      <c r="B54" t="s">
        <v>124</v>
      </c>
      <c r="C54" t="s">
        <v>125</v>
      </c>
      <c r="D54">
        <v>2500</v>
      </c>
      <c r="E54" s="39">
        <v>45778</v>
      </c>
    </row>
    <row r="55" spans="1:6">
      <c r="A55" s="38">
        <v>45779</v>
      </c>
      <c r="B55" t="s">
        <v>122</v>
      </c>
      <c r="C55" t="s">
        <v>123</v>
      </c>
      <c r="D55">
        <v>2500</v>
      </c>
      <c r="E55" s="39">
        <v>45778</v>
      </c>
    </row>
    <row r="56" spans="1:6">
      <c r="A56" s="38">
        <v>45780</v>
      </c>
      <c r="B56" t="s">
        <v>140</v>
      </c>
      <c r="C56" t="s">
        <v>141</v>
      </c>
      <c r="D56">
        <v>2500</v>
      </c>
      <c r="E56" s="39">
        <v>45778</v>
      </c>
    </row>
    <row r="57" spans="1:6">
      <c r="A57" s="38">
        <v>45781</v>
      </c>
      <c r="B57" t="s">
        <v>136</v>
      </c>
      <c r="C57" t="s">
        <v>137</v>
      </c>
      <c r="D57">
        <v>2500</v>
      </c>
      <c r="E57" s="39">
        <v>45778</v>
      </c>
    </row>
    <row r="58" spans="1:6">
      <c r="A58" s="38">
        <v>45781</v>
      </c>
      <c r="B58" t="s">
        <v>120</v>
      </c>
      <c r="C58" t="s">
        <v>121</v>
      </c>
      <c r="D58">
        <v>2500</v>
      </c>
      <c r="E58" s="39">
        <v>45778</v>
      </c>
    </row>
    <row r="59" spans="1:6">
      <c r="A59" s="38">
        <v>45782</v>
      </c>
      <c r="B59" t="s">
        <v>132</v>
      </c>
      <c r="C59" t="s">
        <v>133</v>
      </c>
      <c r="D59">
        <v>2500</v>
      </c>
      <c r="E59" s="39">
        <v>45778</v>
      </c>
    </row>
    <row r="60" spans="1:6">
      <c r="A60" s="38">
        <v>45784</v>
      </c>
      <c r="B60" t="s">
        <v>134</v>
      </c>
      <c r="C60" t="s">
        <v>135</v>
      </c>
      <c r="D60">
        <v>2500</v>
      </c>
      <c r="E60" s="39">
        <v>45778</v>
      </c>
    </row>
    <row r="61" spans="1:6">
      <c r="A61" s="38">
        <v>45785</v>
      </c>
      <c r="B61" t="s">
        <v>128</v>
      </c>
      <c r="C61" t="s">
        <v>129</v>
      </c>
      <c r="D61">
        <v>2500</v>
      </c>
      <c r="E61" s="39">
        <v>45778</v>
      </c>
    </row>
    <row r="62" spans="1:6">
      <c r="A62" s="38">
        <v>45785</v>
      </c>
      <c r="B62" t="s">
        <v>116</v>
      </c>
      <c r="C62" t="s">
        <v>117</v>
      </c>
      <c r="D62">
        <v>2500</v>
      </c>
      <c r="E62" s="39">
        <v>45778</v>
      </c>
    </row>
    <row r="63" spans="1:6">
      <c r="A63" s="38">
        <v>45787</v>
      </c>
      <c r="B63" t="s">
        <v>138</v>
      </c>
      <c r="C63" t="s">
        <v>139</v>
      </c>
      <c r="D63">
        <v>2500</v>
      </c>
      <c r="E63" s="39">
        <v>45778</v>
      </c>
    </row>
    <row r="64" spans="1:6">
      <c r="A64" s="38">
        <v>45787</v>
      </c>
      <c r="B64" t="s">
        <v>142</v>
      </c>
      <c r="C64" t="s">
        <v>143</v>
      </c>
      <c r="D64">
        <v>2500</v>
      </c>
      <c r="E64" s="39">
        <v>45778</v>
      </c>
    </row>
    <row r="65" spans="1:6">
      <c r="A65" s="38">
        <v>45790</v>
      </c>
      <c r="B65" t="s">
        <v>157</v>
      </c>
      <c r="C65" t="s">
        <v>158</v>
      </c>
      <c r="D65">
        <v>2500</v>
      </c>
      <c r="E65" s="39">
        <v>45778</v>
      </c>
    </row>
    <row r="66" spans="1:6">
      <c r="A66" s="38">
        <v>45790</v>
      </c>
      <c r="B66" t="s">
        <v>146</v>
      </c>
      <c r="C66" t="s">
        <v>147</v>
      </c>
      <c r="D66">
        <v>2500</v>
      </c>
      <c r="E66" s="39">
        <v>45778</v>
      </c>
    </row>
    <row r="67" spans="1:6">
      <c r="A67" s="38">
        <v>45793</v>
      </c>
      <c r="B67" t="s">
        <v>148</v>
      </c>
      <c r="C67" t="s">
        <v>149</v>
      </c>
      <c r="D67">
        <v>2500</v>
      </c>
      <c r="E67" s="39">
        <v>45778</v>
      </c>
    </row>
    <row r="68" spans="1:6">
      <c r="A68" s="38">
        <v>45793</v>
      </c>
      <c r="B68" t="s">
        <v>144</v>
      </c>
      <c r="C68" t="s">
        <v>145</v>
      </c>
      <c r="D68">
        <v>2500</v>
      </c>
      <c r="E68" s="39">
        <v>45778</v>
      </c>
    </row>
    <row r="69" spans="1:6">
      <c r="A69" s="38">
        <v>45808</v>
      </c>
      <c r="B69" t="s">
        <v>164</v>
      </c>
      <c r="C69" t="s">
        <v>155</v>
      </c>
      <c r="D69">
        <v>2500</v>
      </c>
      <c r="E69" s="39">
        <v>45778</v>
      </c>
      <c r="F69" t="s">
        <v>165</v>
      </c>
    </row>
    <row r="70" spans="1:6">
      <c r="A70" s="38">
        <v>45811</v>
      </c>
      <c r="B70" s="42" t="s">
        <v>160</v>
      </c>
      <c r="C70" t="s">
        <v>161</v>
      </c>
      <c r="D70">
        <v>2500</v>
      </c>
      <c r="E70" s="39">
        <v>45778</v>
      </c>
    </row>
    <row r="71" spans="1:6">
      <c r="A71" s="38">
        <v>45877</v>
      </c>
      <c r="B71" t="s">
        <v>152</v>
      </c>
      <c r="C71" t="s">
        <v>153</v>
      </c>
      <c r="D71">
        <v>2500</v>
      </c>
      <c r="E71" s="39">
        <v>45778</v>
      </c>
      <c r="F71" t="s">
        <v>166</v>
      </c>
    </row>
    <row r="72" spans="1:6">
      <c r="A72" s="38">
        <v>45970</v>
      </c>
      <c r="B72" t="s">
        <v>114</v>
      </c>
      <c r="C72" t="s">
        <v>115</v>
      </c>
      <c r="D72">
        <v>2500</v>
      </c>
      <c r="E72" s="39">
        <v>45778</v>
      </c>
      <c r="F72" t="s">
        <v>167</v>
      </c>
    </row>
    <row r="73" spans="1:6">
      <c r="A73" s="38">
        <v>45901</v>
      </c>
      <c r="B73" t="s">
        <v>162</v>
      </c>
      <c r="C73" t="s">
        <v>163</v>
      </c>
      <c r="D73">
        <v>2500</v>
      </c>
      <c r="E73" s="39">
        <v>45781</v>
      </c>
      <c r="F73" t="s">
        <v>168</v>
      </c>
    </row>
    <row r="74" spans="1:6">
      <c r="A74" s="38">
        <v>45818</v>
      </c>
      <c r="B74" t="s">
        <v>142</v>
      </c>
      <c r="C74" t="s">
        <v>143</v>
      </c>
      <c r="D74">
        <v>2500</v>
      </c>
      <c r="E74" s="39">
        <v>45809</v>
      </c>
    </row>
    <row r="75" spans="1:6">
      <c r="A75" s="38">
        <v>45818</v>
      </c>
      <c r="B75" t="s">
        <v>146</v>
      </c>
      <c r="C75" t="s">
        <v>147</v>
      </c>
      <c r="D75">
        <v>2500</v>
      </c>
      <c r="E75" s="39">
        <v>45809</v>
      </c>
    </row>
    <row r="76" spans="1:6">
      <c r="A76" s="38">
        <v>45818</v>
      </c>
      <c r="B76" t="s">
        <v>128</v>
      </c>
      <c r="C76" t="s">
        <v>129</v>
      </c>
      <c r="D76">
        <v>2500</v>
      </c>
      <c r="E76" s="39">
        <v>45809</v>
      </c>
    </row>
    <row r="77" spans="1:6">
      <c r="A77" s="38">
        <v>45847</v>
      </c>
      <c r="B77" t="s">
        <v>144</v>
      </c>
      <c r="C77" t="s">
        <v>145</v>
      </c>
      <c r="D77">
        <v>2500</v>
      </c>
      <c r="E77" s="39">
        <v>45809</v>
      </c>
      <c r="F77" t="s">
        <v>169</v>
      </c>
    </row>
    <row r="78" spans="1:6">
      <c r="A78" s="38">
        <v>45865</v>
      </c>
      <c r="B78" t="s">
        <v>160</v>
      </c>
      <c r="C78" t="s">
        <v>161</v>
      </c>
      <c r="D78">
        <v>2500</v>
      </c>
      <c r="E78" s="39">
        <v>45809</v>
      </c>
      <c r="F78" s="15" t="s">
        <v>170</v>
      </c>
    </row>
    <row r="79" spans="1:6">
      <c r="A79" s="38">
        <v>45870</v>
      </c>
      <c r="B79" t="s">
        <v>154</v>
      </c>
      <c r="C79" t="s">
        <v>155</v>
      </c>
      <c r="D79">
        <v>2500</v>
      </c>
      <c r="E79" s="39">
        <v>45809</v>
      </c>
    </row>
    <row r="80" spans="1:6">
      <c r="A80" s="38">
        <v>45877</v>
      </c>
      <c r="B80" t="s">
        <v>152</v>
      </c>
      <c r="C80" t="s">
        <v>153</v>
      </c>
      <c r="D80">
        <v>2500</v>
      </c>
      <c r="E80" s="39">
        <v>45809</v>
      </c>
      <c r="F80" t="s">
        <v>166</v>
      </c>
    </row>
    <row r="81" spans="1:6">
      <c r="A81" s="38">
        <v>45970</v>
      </c>
      <c r="B81" t="s">
        <v>114</v>
      </c>
      <c r="C81" t="s">
        <v>115</v>
      </c>
      <c r="D81">
        <v>2500</v>
      </c>
      <c r="E81" s="39">
        <v>45809</v>
      </c>
      <c r="F81" t="s">
        <v>167</v>
      </c>
    </row>
    <row r="82" spans="1:6">
      <c r="A82" s="38">
        <v>45901</v>
      </c>
      <c r="B82" t="s">
        <v>162</v>
      </c>
      <c r="C82" t="s">
        <v>163</v>
      </c>
      <c r="D82">
        <v>2500</v>
      </c>
      <c r="E82" s="39">
        <v>45812</v>
      </c>
      <c r="F82" t="s">
        <v>168</v>
      </c>
    </row>
    <row r="83" spans="1:6">
      <c r="A83" s="38">
        <v>45815</v>
      </c>
      <c r="B83" t="s">
        <v>136</v>
      </c>
      <c r="C83" t="s">
        <v>137</v>
      </c>
      <c r="D83">
        <v>2500</v>
      </c>
      <c r="E83" s="39">
        <v>45814</v>
      </c>
    </row>
    <row r="84" spans="1:6">
      <c r="A84" s="38">
        <v>45815</v>
      </c>
      <c r="B84" t="s">
        <v>134</v>
      </c>
      <c r="C84" t="s">
        <v>135</v>
      </c>
      <c r="D84">
        <v>2500</v>
      </c>
      <c r="E84" s="39">
        <v>45814</v>
      </c>
    </row>
    <row r="85" spans="1:6">
      <c r="A85" s="38">
        <v>45818</v>
      </c>
      <c r="B85" t="s">
        <v>138</v>
      </c>
      <c r="C85" t="s">
        <v>139</v>
      </c>
      <c r="D85">
        <v>2500</v>
      </c>
      <c r="E85" s="39">
        <v>45814</v>
      </c>
    </row>
    <row r="86" spans="1:6">
      <c r="A86" s="38">
        <v>45822</v>
      </c>
      <c r="B86" t="s">
        <v>148</v>
      </c>
      <c r="C86" t="s">
        <v>149</v>
      </c>
      <c r="D86">
        <v>2500</v>
      </c>
      <c r="E86" s="39">
        <v>45814</v>
      </c>
    </row>
    <row r="87" spans="1:6">
      <c r="A87" s="38">
        <v>45808</v>
      </c>
      <c r="B87" t="s">
        <v>126</v>
      </c>
      <c r="C87" t="s">
        <v>127</v>
      </c>
      <c r="D87">
        <v>2500</v>
      </c>
      <c r="E87" s="39">
        <v>45838</v>
      </c>
    </row>
    <row r="88" spans="1:6">
      <c r="A88" s="38">
        <v>45809</v>
      </c>
      <c r="B88" t="s">
        <v>118</v>
      </c>
      <c r="C88" t="s">
        <v>119</v>
      </c>
      <c r="D88">
        <v>2500</v>
      </c>
      <c r="E88" s="39">
        <v>45838</v>
      </c>
    </row>
    <row r="89" spans="1:6">
      <c r="A89" s="38">
        <v>45810</v>
      </c>
      <c r="B89" t="s">
        <v>124</v>
      </c>
      <c r="C89" t="s">
        <v>125</v>
      </c>
      <c r="D89">
        <v>2500</v>
      </c>
      <c r="E89" s="39">
        <v>45838</v>
      </c>
    </row>
    <row r="90" spans="1:6">
      <c r="A90" s="38">
        <v>45811</v>
      </c>
      <c r="B90" t="s">
        <v>140</v>
      </c>
      <c r="C90" t="s">
        <v>141</v>
      </c>
      <c r="D90">
        <v>2500</v>
      </c>
      <c r="E90" s="39">
        <v>45838</v>
      </c>
    </row>
    <row r="91" spans="1:6">
      <c r="A91" s="38">
        <v>45811</v>
      </c>
      <c r="B91" t="s">
        <v>160</v>
      </c>
      <c r="C91" t="s">
        <v>161</v>
      </c>
      <c r="D91">
        <v>2500</v>
      </c>
      <c r="E91" s="39">
        <v>45838</v>
      </c>
    </row>
    <row r="92" spans="1:6">
      <c r="A92" s="38">
        <v>45811</v>
      </c>
      <c r="B92" t="s">
        <v>120</v>
      </c>
      <c r="C92" t="s">
        <v>121</v>
      </c>
      <c r="D92">
        <v>2500</v>
      </c>
      <c r="E92" s="39">
        <v>45838</v>
      </c>
    </row>
    <row r="93" spans="1:6">
      <c r="A93" s="38">
        <v>45811</v>
      </c>
      <c r="B93" t="s">
        <v>122</v>
      </c>
      <c r="C93" t="s">
        <v>123</v>
      </c>
      <c r="D93">
        <v>2500</v>
      </c>
      <c r="E93" s="39">
        <v>45838</v>
      </c>
    </row>
    <row r="94" spans="1:6">
      <c r="A94" s="38">
        <v>45811</v>
      </c>
      <c r="B94" t="s">
        <v>171</v>
      </c>
      <c r="C94" t="s">
        <v>131</v>
      </c>
      <c r="D94">
        <v>2500</v>
      </c>
      <c r="E94" s="39">
        <v>45838</v>
      </c>
    </row>
    <row r="95" spans="1:6">
      <c r="A95" s="38">
        <v>45812</v>
      </c>
      <c r="B95" t="s">
        <v>132</v>
      </c>
      <c r="C95" t="s">
        <v>133</v>
      </c>
      <c r="D95">
        <v>2500</v>
      </c>
      <c r="E95" s="39">
        <v>45838</v>
      </c>
    </row>
    <row r="96" spans="1:6">
      <c r="A96" s="38">
        <v>45815</v>
      </c>
      <c r="B96" t="s">
        <v>116</v>
      </c>
      <c r="C96" t="s">
        <v>117</v>
      </c>
      <c r="D96">
        <v>2500</v>
      </c>
      <c r="E96" s="39">
        <v>45838</v>
      </c>
    </row>
    <row r="97" spans="1:6">
      <c r="A97" s="38">
        <v>45838</v>
      </c>
      <c r="B97" t="s">
        <v>172</v>
      </c>
      <c r="C97" t="s">
        <v>158</v>
      </c>
      <c r="D97">
        <v>2500</v>
      </c>
      <c r="E97" s="39">
        <v>45838</v>
      </c>
      <c r="F97" t="s">
        <v>173</v>
      </c>
    </row>
    <row r="98" spans="1:6">
      <c r="A98" s="38">
        <v>45793</v>
      </c>
      <c r="B98" t="s">
        <v>150</v>
      </c>
      <c r="C98" t="s">
        <v>151</v>
      </c>
      <c r="D98">
        <v>3000</v>
      </c>
      <c r="E98" s="39">
        <v>45778</v>
      </c>
    </row>
    <row r="99" spans="1:6">
      <c r="A99" s="38">
        <v>45838</v>
      </c>
      <c r="B99" t="s">
        <v>150</v>
      </c>
      <c r="C99" t="s">
        <v>151</v>
      </c>
      <c r="D99">
        <v>2500</v>
      </c>
      <c r="E99" s="39">
        <v>45838</v>
      </c>
    </row>
    <row r="100" spans="1:6">
      <c r="A100" s="38">
        <v>45865</v>
      </c>
      <c r="B100" t="s">
        <v>160</v>
      </c>
      <c r="C100" t="s">
        <v>161</v>
      </c>
      <c r="D100">
        <v>2500</v>
      </c>
      <c r="E100" s="39">
        <v>45839</v>
      </c>
      <c r="F100" s="15" t="s">
        <v>174</v>
      </c>
    </row>
    <row r="101" spans="1:6">
      <c r="A101" s="38">
        <v>45916</v>
      </c>
      <c r="B101" t="s">
        <v>154</v>
      </c>
      <c r="C101" t="s">
        <v>155</v>
      </c>
      <c r="D101">
        <v>2500</v>
      </c>
      <c r="E101" s="39">
        <v>45839</v>
      </c>
      <c r="F101" t="s">
        <v>175</v>
      </c>
    </row>
    <row r="102" spans="1:6">
      <c r="A102" s="38">
        <v>45901</v>
      </c>
      <c r="B102" t="s">
        <v>162</v>
      </c>
      <c r="C102" t="s">
        <v>163</v>
      </c>
      <c r="D102">
        <v>2500</v>
      </c>
      <c r="E102" s="39">
        <v>45842</v>
      </c>
      <c r="F102" t="s">
        <v>168</v>
      </c>
    </row>
    <row r="103" spans="1:6">
      <c r="A103" s="38">
        <v>45846</v>
      </c>
      <c r="B103" t="s">
        <v>176</v>
      </c>
      <c r="C103" t="s">
        <v>127</v>
      </c>
      <c r="D103">
        <v>2500</v>
      </c>
      <c r="E103" s="39">
        <v>45848</v>
      </c>
    </row>
    <row r="104" spans="1:6">
      <c r="A104" s="38">
        <v>45847</v>
      </c>
      <c r="B104" t="s">
        <v>136</v>
      </c>
      <c r="C104" t="s">
        <v>137</v>
      </c>
      <c r="D104">
        <v>2500</v>
      </c>
      <c r="E104" s="39">
        <v>45849</v>
      </c>
    </row>
    <row r="105" spans="1:6">
      <c r="A105" s="38">
        <v>45847</v>
      </c>
      <c r="B105" t="s">
        <v>144</v>
      </c>
      <c r="C105" t="s">
        <v>145</v>
      </c>
      <c r="D105">
        <v>2500</v>
      </c>
      <c r="E105" s="39">
        <v>45850</v>
      </c>
      <c r="F105" t="s">
        <v>169</v>
      </c>
    </row>
    <row r="106" spans="1:6">
      <c r="A106" s="38">
        <v>45848</v>
      </c>
      <c r="B106" t="s">
        <v>138</v>
      </c>
      <c r="C106" t="s">
        <v>139</v>
      </c>
      <c r="D106">
        <v>2500</v>
      </c>
      <c r="E106" s="39">
        <v>45851</v>
      </c>
    </row>
    <row r="107" spans="1:6">
      <c r="A107" s="38">
        <v>45848</v>
      </c>
      <c r="B107" t="s">
        <v>142</v>
      </c>
      <c r="C107" t="s">
        <v>143</v>
      </c>
      <c r="D107">
        <v>2500</v>
      </c>
      <c r="E107" s="39">
        <v>45852</v>
      </c>
    </row>
    <row r="108" spans="1:6">
      <c r="A108" s="38">
        <v>45848</v>
      </c>
      <c r="B108" t="s">
        <v>146</v>
      </c>
      <c r="C108" t="s">
        <v>177</v>
      </c>
      <c r="D108">
        <v>2500</v>
      </c>
      <c r="E108" s="39">
        <v>45853</v>
      </c>
    </row>
    <row r="109" spans="1:6">
      <c r="A109" s="38">
        <v>45848</v>
      </c>
      <c r="B109" t="s">
        <v>128</v>
      </c>
      <c r="C109" t="s">
        <v>129</v>
      </c>
      <c r="D109">
        <v>2500</v>
      </c>
      <c r="E109" s="39">
        <v>45854</v>
      </c>
    </row>
    <row r="110" spans="1:6">
      <c r="A110" s="38">
        <v>45854</v>
      </c>
      <c r="B110" t="s">
        <v>148</v>
      </c>
      <c r="C110" t="s">
        <v>149</v>
      </c>
      <c r="D110">
        <v>2500</v>
      </c>
      <c r="E110" s="39">
        <v>45855</v>
      </c>
    </row>
    <row r="111" spans="1:6">
      <c r="A111" s="38">
        <v>45858</v>
      </c>
      <c r="B111" t="s">
        <v>150</v>
      </c>
      <c r="C111" t="s">
        <v>151</v>
      </c>
      <c r="D111">
        <v>2500</v>
      </c>
      <c r="E111" s="39">
        <v>45856</v>
      </c>
    </row>
    <row r="112" spans="1:6">
      <c r="A112" s="38">
        <v>45838</v>
      </c>
      <c r="B112" t="s">
        <v>172</v>
      </c>
      <c r="C112" t="s">
        <v>158</v>
      </c>
      <c r="D112">
        <v>2500</v>
      </c>
      <c r="E112" s="39">
        <v>45865</v>
      </c>
      <c r="F112" t="s">
        <v>173</v>
      </c>
    </row>
    <row r="113" spans="1:5">
      <c r="A113" s="38">
        <v>45839</v>
      </c>
      <c r="B113" t="s">
        <v>122</v>
      </c>
      <c r="C113" t="s">
        <v>123</v>
      </c>
      <c r="D113">
        <v>2500</v>
      </c>
      <c r="E113" s="39">
        <v>45865</v>
      </c>
    </row>
    <row r="114" spans="1:5">
      <c r="A114" s="38">
        <v>45839</v>
      </c>
      <c r="B114" t="s">
        <v>124</v>
      </c>
      <c r="C114" t="s">
        <v>125</v>
      </c>
      <c r="D114">
        <v>2500</v>
      </c>
      <c r="E114" s="39">
        <v>45865</v>
      </c>
    </row>
    <row r="115" spans="1:5">
      <c r="A115" s="38">
        <v>45840</v>
      </c>
      <c r="B115" t="s">
        <v>140</v>
      </c>
      <c r="C115" t="s">
        <v>141</v>
      </c>
      <c r="D115">
        <v>2500</v>
      </c>
      <c r="E115" s="39">
        <v>45865</v>
      </c>
    </row>
    <row r="116" spans="1:5">
      <c r="A116" s="38">
        <v>45840</v>
      </c>
      <c r="B116" t="s">
        <v>118</v>
      </c>
      <c r="C116" t="s">
        <v>119</v>
      </c>
      <c r="D116">
        <v>2500</v>
      </c>
      <c r="E116" s="39">
        <v>45865</v>
      </c>
    </row>
    <row r="117" spans="1:5">
      <c r="A117" s="38">
        <v>45842</v>
      </c>
      <c r="B117" t="s">
        <v>132</v>
      </c>
      <c r="C117" t="s">
        <v>133</v>
      </c>
      <c r="D117">
        <v>2500</v>
      </c>
      <c r="E117" s="39">
        <v>45865</v>
      </c>
    </row>
    <row r="118" spans="1:5">
      <c r="A118" s="38">
        <v>45845</v>
      </c>
      <c r="B118" t="s">
        <v>116</v>
      </c>
      <c r="C118" t="s">
        <v>117</v>
      </c>
      <c r="D118">
        <v>2500</v>
      </c>
      <c r="E118" s="39">
        <v>45865</v>
      </c>
    </row>
    <row r="119" spans="1:5">
      <c r="A119" s="38">
        <v>45845</v>
      </c>
      <c r="B119" t="s">
        <v>120</v>
      </c>
      <c r="C119" t="s">
        <v>121</v>
      </c>
      <c r="D119">
        <v>2500</v>
      </c>
      <c r="E119" s="39">
        <v>45865</v>
      </c>
    </row>
    <row r="120" spans="1:5">
      <c r="A120" s="38">
        <v>45845</v>
      </c>
      <c r="B120" t="s">
        <v>134</v>
      </c>
      <c r="C120" t="s">
        <v>135</v>
      </c>
      <c r="D120">
        <v>2500</v>
      </c>
      <c r="E120" s="39">
        <v>45865</v>
      </c>
    </row>
    <row r="121" spans="1:5">
      <c r="A121" s="38">
        <v>45846</v>
      </c>
      <c r="B121" t="s">
        <v>152</v>
      </c>
      <c r="C121" t="s">
        <v>153</v>
      </c>
      <c r="D121">
        <v>2500</v>
      </c>
      <c r="E121" s="39">
        <v>45865</v>
      </c>
    </row>
    <row r="122" spans="1:5">
      <c r="A122" s="38">
        <v>45846</v>
      </c>
      <c r="B122" t="s">
        <v>171</v>
      </c>
      <c r="C122" t="s">
        <v>131</v>
      </c>
      <c r="D122">
        <v>2500</v>
      </c>
      <c r="E122" s="39">
        <v>45865</v>
      </c>
    </row>
    <row r="123" spans="1:5">
      <c r="A123" s="38">
        <v>45870</v>
      </c>
      <c r="B123" t="s">
        <v>118</v>
      </c>
      <c r="C123" t="s">
        <v>119</v>
      </c>
      <c r="D123">
        <v>2500</v>
      </c>
      <c r="E123" s="39">
        <v>45870</v>
      </c>
    </row>
    <row r="124" spans="1:5">
      <c r="A124" s="38">
        <v>45870</v>
      </c>
      <c r="B124" t="s">
        <v>120</v>
      </c>
      <c r="C124" t="s">
        <v>121</v>
      </c>
      <c r="D124">
        <v>2500</v>
      </c>
      <c r="E124" s="39">
        <v>45870</v>
      </c>
    </row>
    <row r="125" spans="1:5">
      <c r="A125" s="38">
        <v>45871</v>
      </c>
      <c r="B125" t="s">
        <v>124</v>
      </c>
      <c r="C125" t="s">
        <v>125</v>
      </c>
      <c r="D125">
        <v>2500</v>
      </c>
      <c r="E125" s="39">
        <v>45870</v>
      </c>
    </row>
    <row r="126" spans="1:5">
      <c r="A126" s="38">
        <v>45871</v>
      </c>
      <c r="B126" t="s">
        <v>116</v>
      </c>
      <c r="C126" t="s">
        <v>117</v>
      </c>
      <c r="D126">
        <v>2500</v>
      </c>
      <c r="E126" s="39">
        <v>45870</v>
      </c>
    </row>
    <row r="127" spans="1:5">
      <c r="A127" s="38">
        <v>45872</v>
      </c>
      <c r="B127" t="s">
        <v>128</v>
      </c>
      <c r="C127" t="s">
        <v>129</v>
      </c>
      <c r="D127">
        <v>2500</v>
      </c>
      <c r="E127" s="39">
        <v>45870</v>
      </c>
    </row>
    <row r="128" spans="1:5">
      <c r="A128" s="38">
        <v>45873</v>
      </c>
      <c r="B128" t="s">
        <v>132</v>
      </c>
      <c r="C128" t="s">
        <v>133</v>
      </c>
      <c r="D128">
        <v>2500</v>
      </c>
      <c r="E128" s="39">
        <v>45870</v>
      </c>
    </row>
    <row r="129" spans="1:6">
      <c r="A129" s="38">
        <v>45873</v>
      </c>
      <c r="B129" t="s">
        <v>140</v>
      </c>
      <c r="C129" t="s">
        <v>141</v>
      </c>
      <c r="D129">
        <v>2500</v>
      </c>
      <c r="E129" s="39">
        <v>45870</v>
      </c>
    </row>
    <row r="130" spans="1:6">
      <c r="A130" s="38">
        <v>45873</v>
      </c>
      <c r="B130" t="s">
        <v>122</v>
      </c>
      <c r="C130" t="s">
        <v>123</v>
      </c>
      <c r="D130">
        <v>2500</v>
      </c>
      <c r="E130" s="39">
        <v>45870</v>
      </c>
    </row>
    <row r="131" spans="1:6">
      <c r="A131" s="38">
        <v>45876</v>
      </c>
      <c r="B131" t="s">
        <v>134</v>
      </c>
      <c r="C131" t="s">
        <v>135</v>
      </c>
      <c r="D131">
        <v>2500</v>
      </c>
      <c r="E131" s="39">
        <v>45870</v>
      </c>
    </row>
    <row r="132" spans="1:6">
      <c r="A132" s="38">
        <v>45877</v>
      </c>
      <c r="B132" t="s">
        <v>176</v>
      </c>
      <c r="C132" t="s">
        <v>127</v>
      </c>
      <c r="D132">
        <v>2500</v>
      </c>
      <c r="E132" s="39">
        <v>45870</v>
      </c>
    </row>
    <row r="133" spans="1:6">
      <c r="A133" s="38">
        <v>45877</v>
      </c>
      <c r="B133" t="s">
        <v>152</v>
      </c>
      <c r="C133" t="s">
        <v>153</v>
      </c>
      <c r="D133">
        <v>2500</v>
      </c>
      <c r="E133" s="39">
        <v>45870</v>
      </c>
      <c r="F133" t="s">
        <v>166</v>
      </c>
    </row>
    <row r="134" spans="1:6">
      <c r="A134" s="38">
        <v>45878</v>
      </c>
      <c r="B134" t="s">
        <v>144</v>
      </c>
      <c r="C134" t="s">
        <v>145</v>
      </c>
      <c r="D134">
        <v>2500</v>
      </c>
      <c r="E134" s="39">
        <v>45870</v>
      </c>
    </row>
    <row r="135" spans="1:6">
      <c r="A135" s="38">
        <v>45879</v>
      </c>
      <c r="B135" t="s">
        <v>142</v>
      </c>
      <c r="C135" t="s">
        <v>143</v>
      </c>
      <c r="D135">
        <v>2500</v>
      </c>
      <c r="E135" s="39">
        <v>45870</v>
      </c>
    </row>
    <row r="136" spans="1:6">
      <c r="A136" s="38">
        <v>45879</v>
      </c>
      <c r="B136" t="s">
        <v>138</v>
      </c>
      <c r="C136" t="s">
        <v>139</v>
      </c>
      <c r="D136">
        <v>2500</v>
      </c>
      <c r="E136" s="39">
        <v>45870</v>
      </c>
    </row>
    <row r="137" spans="1:6">
      <c r="A137" s="38">
        <v>45879</v>
      </c>
      <c r="B137" t="s">
        <v>136</v>
      </c>
      <c r="C137" t="s">
        <v>137</v>
      </c>
      <c r="D137">
        <v>2500</v>
      </c>
      <c r="E137" s="39">
        <v>45870</v>
      </c>
    </row>
    <row r="138" spans="1:6">
      <c r="A138" s="38">
        <v>45881</v>
      </c>
      <c r="B138" t="s">
        <v>146</v>
      </c>
      <c r="C138" t="s">
        <v>147</v>
      </c>
      <c r="D138">
        <v>2500</v>
      </c>
      <c r="E138" s="39">
        <v>45870</v>
      </c>
    </row>
    <row r="139" spans="1:6">
      <c r="A139" s="38">
        <v>45884</v>
      </c>
      <c r="B139" t="s">
        <v>130</v>
      </c>
      <c r="C139" t="s">
        <v>131</v>
      </c>
      <c r="D139">
        <v>2500</v>
      </c>
      <c r="E139" s="39">
        <v>45870</v>
      </c>
    </row>
    <row r="140" spans="1:6">
      <c r="A140" s="38">
        <v>45885</v>
      </c>
      <c r="B140" t="s">
        <v>148</v>
      </c>
      <c r="C140" t="s">
        <v>149</v>
      </c>
      <c r="D140">
        <v>2500</v>
      </c>
      <c r="E140" s="39">
        <v>45870</v>
      </c>
    </row>
    <row r="141" spans="1:6">
      <c r="A141" s="38">
        <v>45893</v>
      </c>
      <c r="B141" t="s">
        <v>150</v>
      </c>
      <c r="C141" t="s">
        <v>151</v>
      </c>
      <c r="D141">
        <v>2500</v>
      </c>
      <c r="E141" s="39">
        <v>45870</v>
      </c>
    </row>
    <row r="142" spans="1:6">
      <c r="A142" s="38">
        <v>45916</v>
      </c>
      <c r="B142" t="s">
        <v>154</v>
      </c>
      <c r="C142" t="s">
        <v>155</v>
      </c>
      <c r="D142">
        <v>2500</v>
      </c>
      <c r="E142" s="39">
        <v>45870</v>
      </c>
      <c r="F142" t="s">
        <v>175</v>
      </c>
    </row>
    <row r="143" spans="1:6">
      <c r="A143" s="38">
        <v>45917</v>
      </c>
      <c r="B143" t="s">
        <v>172</v>
      </c>
      <c r="C143" t="s">
        <v>158</v>
      </c>
      <c r="D143">
        <v>2500</v>
      </c>
      <c r="E143" s="39">
        <v>45870</v>
      </c>
      <c r="F143" t="s">
        <v>178</v>
      </c>
    </row>
    <row r="144" spans="1:6">
      <c r="A144" s="38">
        <v>45901</v>
      </c>
      <c r="B144" t="s">
        <v>162</v>
      </c>
      <c r="C144" t="s">
        <v>163</v>
      </c>
      <c r="D144">
        <v>2500</v>
      </c>
      <c r="E144" s="39">
        <v>45873</v>
      </c>
      <c r="F144" t="s">
        <v>168</v>
      </c>
    </row>
    <row r="145" spans="1:6">
      <c r="A145" s="38">
        <v>45901</v>
      </c>
      <c r="B145" t="s">
        <v>118</v>
      </c>
      <c r="C145" t="s">
        <v>119</v>
      </c>
      <c r="D145">
        <v>2500</v>
      </c>
      <c r="E145" s="39">
        <v>45901</v>
      </c>
    </row>
    <row r="146" spans="1:6">
      <c r="A146" s="38">
        <v>45931</v>
      </c>
      <c r="B146" t="s">
        <v>154</v>
      </c>
      <c r="C146" t="s">
        <v>155</v>
      </c>
      <c r="D146">
        <v>2500</v>
      </c>
      <c r="E146" s="39">
        <v>45901</v>
      </c>
    </row>
    <row r="147" spans="1:6">
      <c r="A147" s="38">
        <v>45947</v>
      </c>
      <c r="B147" t="s">
        <v>179</v>
      </c>
      <c r="C147" t="s">
        <v>163</v>
      </c>
      <c r="D147">
        <v>2500</v>
      </c>
      <c r="E147" s="39">
        <v>45901</v>
      </c>
      <c r="F147" t="s">
        <v>180</v>
      </c>
    </row>
    <row r="148" spans="1:6">
      <c r="A148" s="38">
        <v>45901</v>
      </c>
      <c r="B148" t="s">
        <v>124</v>
      </c>
      <c r="C148" t="s">
        <v>125</v>
      </c>
      <c r="D148">
        <v>2500</v>
      </c>
      <c r="E148" s="39">
        <v>45902</v>
      </c>
    </row>
    <row r="149" spans="1:6">
      <c r="A149" s="38">
        <v>45902</v>
      </c>
      <c r="B149" t="s">
        <v>130</v>
      </c>
      <c r="C149" t="s">
        <v>131</v>
      </c>
      <c r="D149">
        <v>2500</v>
      </c>
      <c r="E149" s="39">
        <v>45902</v>
      </c>
    </row>
    <row r="150" spans="1:6">
      <c r="A150" s="38">
        <v>45901</v>
      </c>
      <c r="B150" t="s">
        <v>140</v>
      </c>
      <c r="C150" t="s">
        <v>141</v>
      </c>
      <c r="D150">
        <v>2500</v>
      </c>
      <c r="E150" s="39">
        <v>45903</v>
      </c>
    </row>
    <row r="151" spans="1:6">
      <c r="A151" s="38">
        <v>45902</v>
      </c>
      <c r="B151" t="s">
        <v>120</v>
      </c>
      <c r="C151" t="s">
        <v>121</v>
      </c>
      <c r="D151">
        <v>2500</v>
      </c>
      <c r="E151" s="39">
        <v>45903</v>
      </c>
    </row>
    <row r="152" spans="1:6">
      <c r="A152" s="38">
        <v>45903</v>
      </c>
      <c r="B152" t="s">
        <v>132</v>
      </c>
      <c r="C152" t="s">
        <v>133</v>
      </c>
      <c r="D152">
        <v>2500</v>
      </c>
      <c r="E152" s="39">
        <v>45904</v>
      </c>
    </row>
    <row r="153" spans="1:6">
      <c r="A153" s="38">
        <v>45903</v>
      </c>
      <c r="B153" t="s">
        <v>122</v>
      </c>
      <c r="C153" t="s">
        <v>123</v>
      </c>
      <c r="D153">
        <v>2500</v>
      </c>
      <c r="E153" s="39">
        <v>45905</v>
      </c>
    </row>
    <row r="154" spans="1:6">
      <c r="A154" s="38">
        <v>45906</v>
      </c>
      <c r="B154" t="s">
        <v>150</v>
      </c>
      <c r="C154" t="s">
        <v>151</v>
      </c>
      <c r="D154">
        <v>2500</v>
      </c>
      <c r="E154" s="39">
        <v>45906</v>
      </c>
    </row>
    <row r="155" spans="1:6">
      <c r="A155" s="38">
        <v>45906</v>
      </c>
      <c r="B155" t="s">
        <v>146</v>
      </c>
      <c r="C155" t="s">
        <v>147</v>
      </c>
      <c r="D155">
        <v>2500</v>
      </c>
      <c r="E155" s="39">
        <v>45907</v>
      </c>
    </row>
    <row r="156" spans="1:6">
      <c r="A156" s="38">
        <v>45907</v>
      </c>
      <c r="B156" t="s">
        <v>134</v>
      </c>
      <c r="C156" t="s">
        <v>135</v>
      </c>
      <c r="D156">
        <v>2500</v>
      </c>
      <c r="E156" s="39">
        <v>45908</v>
      </c>
    </row>
    <row r="157" spans="1:6">
      <c r="A157" s="38">
        <v>45908</v>
      </c>
      <c r="B157" t="s">
        <v>176</v>
      </c>
      <c r="C157" t="s">
        <v>127</v>
      </c>
      <c r="D157">
        <v>2500</v>
      </c>
      <c r="E157" s="39">
        <v>45909</v>
      </c>
    </row>
    <row r="158" spans="1:6">
      <c r="A158" s="38">
        <v>45908</v>
      </c>
      <c r="B158" t="s">
        <v>116</v>
      </c>
      <c r="C158" t="s">
        <v>117</v>
      </c>
      <c r="D158">
        <v>2500</v>
      </c>
      <c r="E158" s="39">
        <v>45910</v>
      </c>
    </row>
    <row r="159" spans="1:6">
      <c r="A159" s="38">
        <v>45910</v>
      </c>
      <c r="B159" t="s">
        <v>138</v>
      </c>
      <c r="C159" t="s">
        <v>139</v>
      </c>
      <c r="D159">
        <v>2500</v>
      </c>
      <c r="E159" s="39">
        <v>45911</v>
      </c>
    </row>
    <row r="160" spans="1:6">
      <c r="A160" s="38">
        <v>45910</v>
      </c>
      <c r="B160" t="s">
        <v>136</v>
      </c>
      <c r="C160" t="s">
        <v>137</v>
      </c>
      <c r="D160">
        <v>2500</v>
      </c>
      <c r="E160" s="39">
        <v>45912</v>
      </c>
    </row>
    <row r="161" spans="1:6">
      <c r="A161" s="38">
        <v>45911</v>
      </c>
      <c r="B161" t="s">
        <v>144</v>
      </c>
      <c r="C161" t="s">
        <v>145</v>
      </c>
      <c r="D161">
        <v>2500</v>
      </c>
      <c r="E161" s="39">
        <v>45913</v>
      </c>
    </row>
    <row r="162" spans="1:6">
      <c r="A162" s="38">
        <v>45886</v>
      </c>
      <c r="B162" t="s">
        <v>148</v>
      </c>
      <c r="C162" t="s">
        <v>149</v>
      </c>
      <c r="D162">
        <v>2500</v>
      </c>
      <c r="E162" s="39">
        <v>45916</v>
      </c>
    </row>
    <row r="163" spans="1:6">
      <c r="A163" s="38">
        <v>45917</v>
      </c>
      <c r="B163" t="s">
        <v>172</v>
      </c>
      <c r="C163" t="s">
        <v>158</v>
      </c>
      <c r="D163">
        <v>2500</v>
      </c>
      <c r="E163" s="39">
        <v>45917</v>
      </c>
      <c r="F163" t="s">
        <v>178</v>
      </c>
    </row>
    <row r="164" spans="1:6">
      <c r="A164" s="38">
        <v>45917</v>
      </c>
      <c r="B164" t="s">
        <v>152</v>
      </c>
      <c r="C164" t="s">
        <v>153</v>
      </c>
      <c r="D164">
        <v>2500</v>
      </c>
      <c r="E164" s="39">
        <v>45919</v>
      </c>
    </row>
    <row r="165" spans="1:6">
      <c r="A165" s="38">
        <v>45925</v>
      </c>
      <c r="B165" t="s">
        <v>142</v>
      </c>
      <c r="C165" t="s">
        <v>143</v>
      </c>
      <c r="D165">
        <v>2500</v>
      </c>
      <c r="E165" s="39">
        <v>45920</v>
      </c>
    </row>
    <row r="166" spans="1:6">
      <c r="A166" s="38">
        <v>45925</v>
      </c>
      <c r="B166" t="s">
        <v>128</v>
      </c>
      <c r="C166" t="s">
        <v>129</v>
      </c>
      <c r="D166">
        <v>2500</v>
      </c>
      <c r="E166" s="39">
        <v>45921</v>
      </c>
    </row>
    <row r="167" spans="1:6">
      <c r="A167" s="38">
        <v>45930</v>
      </c>
      <c r="B167" t="s">
        <v>160</v>
      </c>
      <c r="C167" t="s">
        <v>161</v>
      </c>
      <c r="D167">
        <v>2500</v>
      </c>
      <c r="E167" s="39">
        <v>45922</v>
      </c>
    </row>
    <row r="168" spans="1:6">
      <c r="A168" s="38">
        <v>45970</v>
      </c>
      <c r="B168" t="s">
        <v>181</v>
      </c>
      <c r="C168" t="s">
        <v>158</v>
      </c>
      <c r="D168">
        <v>2500</v>
      </c>
      <c r="E168" s="39">
        <v>45931</v>
      </c>
      <c r="F168" t="s">
        <v>182</v>
      </c>
    </row>
    <row r="169" spans="1:6">
      <c r="A169" s="38">
        <v>45932</v>
      </c>
      <c r="B169" t="s">
        <v>118</v>
      </c>
      <c r="C169" t="s">
        <v>119</v>
      </c>
      <c r="D169">
        <v>2500</v>
      </c>
      <c r="E169" s="39">
        <v>45932</v>
      </c>
    </row>
    <row r="170" spans="1:6">
      <c r="A170" s="38">
        <v>45932</v>
      </c>
      <c r="B170" t="s">
        <v>120</v>
      </c>
      <c r="C170" t="s">
        <v>121</v>
      </c>
      <c r="D170">
        <v>2500</v>
      </c>
      <c r="E170" s="39">
        <v>45933</v>
      </c>
    </row>
    <row r="171" spans="1:6">
      <c r="A171" s="38">
        <v>45933</v>
      </c>
      <c r="B171" t="s">
        <v>130</v>
      </c>
      <c r="C171" t="s">
        <v>131</v>
      </c>
      <c r="D171">
        <v>2500</v>
      </c>
      <c r="E171" s="39">
        <v>45934</v>
      </c>
    </row>
    <row r="172" spans="1:6">
      <c r="A172" s="38">
        <v>45933</v>
      </c>
      <c r="B172" t="s">
        <v>124</v>
      </c>
      <c r="C172" t="s">
        <v>125</v>
      </c>
      <c r="D172">
        <v>2500</v>
      </c>
      <c r="E172" s="39">
        <v>45935</v>
      </c>
    </row>
    <row r="173" spans="1:6">
      <c r="A173" s="38">
        <v>45933</v>
      </c>
      <c r="B173" t="s">
        <v>132</v>
      </c>
      <c r="C173" t="s">
        <v>133</v>
      </c>
      <c r="D173">
        <v>2500</v>
      </c>
      <c r="E173" s="39">
        <v>45936</v>
      </c>
    </row>
    <row r="174" spans="1:6">
      <c r="A174" s="38">
        <v>45933</v>
      </c>
      <c r="B174" t="s">
        <v>122</v>
      </c>
      <c r="C174" t="s">
        <v>123</v>
      </c>
      <c r="D174">
        <v>2500</v>
      </c>
      <c r="E174" s="39">
        <v>45937</v>
      </c>
    </row>
    <row r="175" spans="1:6">
      <c r="A175" s="38">
        <v>45934</v>
      </c>
      <c r="B175" t="s">
        <v>146</v>
      </c>
      <c r="C175" t="s">
        <v>147</v>
      </c>
      <c r="D175">
        <v>2500</v>
      </c>
      <c r="E175" s="39">
        <v>45938</v>
      </c>
    </row>
    <row r="176" spans="1:6">
      <c r="A176" s="38">
        <v>45934</v>
      </c>
      <c r="B176" t="s">
        <v>140</v>
      </c>
      <c r="C176" t="s">
        <v>141</v>
      </c>
      <c r="D176">
        <v>2500</v>
      </c>
      <c r="E176" s="39">
        <v>45939</v>
      </c>
    </row>
    <row r="177" spans="1:6">
      <c r="A177" s="38">
        <v>45936</v>
      </c>
      <c r="B177" t="s">
        <v>116</v>
      </c>
      <c r="C177" t="s">
        <v>117</v>
      </c>
      <c r="D177">
        <v>2500</v>
      </c>
      <c r="E177" s="39">
        <v>45940</v>
      </c>
    </row>
    <row r="178" spans="1:6">
      <c r="A178" s="38">
        <v>45937</v>
      </c>
      <c r="B178" t="s">
        <v>134</v>
      </c>
      <c r="C178" t="s">
        <v>135</v>
      </c>
      <c r="D178">
        <v>2500</v>
      </c>
      <c r="E178" s="39">
        <v>45941</v>
      </c>
    </row>
    <row r="179" spans="1:6">
      <c r="A179" s="38">
        <v>45968</v>
      </c>
      <c r="B179" t="s">
        <v>134</v>
      </c>
      <c r="C179" t="s">
        <v>135</v>
      </c>
      <c r="D179">
        <v>2500</v>
      </c>
      <c r="E179" s="39">
        <v>45962</v>
      </c>
    </row>
    <row r="180" spans="1:6">
      <c r="A180" s="38">
        <v>45938</v>
      </c>
      <c r="B180" t="s">
        <v>176</v>
      </c>
      <c r="C180" t="s">
        <v>127</v>
      </c>
      <c r="D180">
        <v>2500</v>
      </c>
      <c r="E180" s="39">
        <v>45942</v>
      </c>
    </row>
    <row r="181" spans="1:6">
      <c r="A181" s="38">
        <v>45939</v>
      </c>
      <c r="B181" t="s">
        <v>136</v>
      </c>
      <c r="C181" t="s">
        <v>137</v>
      </c>
      <c r="D181">
        <v>2500</v>
      </c>
      <c r="E181" s="39">
        <v>45943</v>
      </c>
    </row>
    <row r="182" spans="1:6">
      <c r="A182" s="38">
        <v>45939</v>
      </c>
      <c r="B182" t="s">
        <v>128</v>
      </c>
      <c r="C182" t="s">
        <v>129</v>
      </c>
      <c r="D182">
        <v>2500</v>
      </c>
      <c r="E182" s="39">
        <v>45944</v>
      </c>
    </row>
    <row r="183" spans="1:6">
      <c r="A183" s="38">
        <v>45939</v>
      </c>
      <c r="B183" t="s">
        <v>154</v>
      </c>
      <c r="C183" t="s">
        <v>155</v>
      </c>
      <c r="D183">
        <v>2500</v>
      </c>
      <c r="E183" s="39">
        <v>45945</v>
      </c>
    </row>
    <row r="184" spans="1:6">
      <c r="A184" s="38">
        <v>45940</v>
      </c>
      <c r="B184" t="s">
        <v>142</v>
      </c>
      <c r="C184" t="s">
        <v>143</v>
      </c>
      <c r="D184">
        <v>2500</v>
      </c>
      <c r="E184" s="39">
        <v>45946</v>
      </c>
    </row>
    <row r="185" spans="1:6">
      <c r="A185" s="38">
        <v>45940</v>
      </c>
      <c r="B185" t="s">
        <v>144</v>
      </c>
      <c r="C185" t="s">
        <v>145</v>
      </c>
      <c r="D185">
        <v>2500</v>
      </c>
      <c r="E185" s="39">
        <v>45947</v>
      </c>
    </row>
    <row r="186" spans="1:6">
      <c r="A186" s="38">
        <v>45940</v>
      </c>
      <c r="B186" t="s">
        <v>138</v>
      </c>
      <c r="C186" t="s">
        <v>139</v>
      </c>
      <c r="D186">
        <v>2500</v>
      </c>
      <c r="E186" s="39">
        <v>45948</v>
      </c>
    </row>
    <row r="187" spans="1:6">
      <c r="A187" s="38">
        <v>45940</v>
      </c>
      <c r="B187" t="s">
        <v>150</v>
      </c>
      <c r="C187" t="s">
        <v>151</v>
      </c>
      <c r="D187">
        <v>2500</v>
      </c>
      <c r="E187" s="39">
        <v>45948</v>
      </c>
    </row>
    <row r="188" spans="1:6">
      <c r="A188" s="38">
        <v>45942</v>
      </c>
      <c r="B188" t="s">
        <v>160</v>
      </c>
      <c r="C188" t="s">
        <v>161</v>
      </c>
      <c r="D188">
        <v>2500</v>
      </c>
      <c r="E188" s="39">
        <v>45948</v>
      </c>
    </row>
    <row r="189" spans="1:6">
      <c r="A189" s="38">
        <v>45944</v>
      </c>
      <c r="B189" t="s">
        <v>152</v>
      </c>
      <c r="C189" t="s">
        <v>153</v>
      </c>
      <c r="D189">
        <v>2500</v>
      </c>
      <c r="E189" s="39">
        <v>45948</v>
      </c>
    </row>
    <row r="190" spans="1:6">
      <c r="A190" s="38">
        <v>45945</v>
      </c>
      <c r="B190" t="s">
        <v>148</v>
      </c>
      <c r="C190" t="s">
        <v>149</v>
      </c>
      <c r="D190">
        <v>2500</v>
      </c>
      <c r="E190" s="39">
        <v>45948</v>
      </c>
    </row>
    <row r="191" spans="1:6">
      <c r="A191" s="38">
        <v>45947</v>
      </c>
      <c r="B191" t="s">
        <v>179</v>
      </c>
      <c r="C191" t="s">
        <v>163</v>
      </c>
      <c r="D191">
        <v>2500</v>
      </c>
      <c r="E191" s="39">
        <v>45948</v>
      </c>
      <c r="F191" t="s">
        <v>180</v>
      </c>
    </row>
    <row r="192" spans="1:6">
      <c r="A192" s="38">
        <v>45962</v>
      </c>
      <c r="B192" t="s">
        <v>176</v>
      </c>
      <c r="C192" t="s">
        <v>127</v>
      </c>
      <c r="D192">
        <v>4500</v>
      </c>
      <c r="E192" s="39">
        <v>45962</v>
      </c>
    </row>
    <row r="193" spans="1:6">
      <c r="A193" s="38">
        <v>45963</v>
      </c>
      <c r="B193" t="s">
        <v>124</v>
      </c>
      <c r="C193" t="s">
        <v>125</v>
      </c>
      <c r="D193">
        <v>2500</v>
      </c>
      <c r="E193" s="39">
        <v>45962</v>
      </c>
    </row>
    <row r="194" spans="1:6">
      <c r="A194" s="38">
        <v>45964</v>
      </c>
      <c r="B194" t="s">
        <v>183</v>
      </c>
      <c r="C194" t="s">
        <v>119</v>
      </c>
      <c r="D194">
        <v>4500</v>
      </c>
      <c r="E194" s="39">
        <v>45962</v>
      </c>
    </row>
    <row r="195" spans="1:6">
      <c r="A195" s="38">
        <v>45964</v>
      </c>
      <c r="B195" t="s">
        <v>132</v>
      </c>
      <c r="C195" t="s">
        <v>133</v>
      </c>
      <c r="D195">
        <v>4500</v>
      </c>
      <c r="E195" s="39">
        <v>45962</v>
      </c>
    </row>
    <row r="196" spans="1:6">
      <c r="A196" s="38">
        <v>45965</v>
      </c>
      <c r="B196" t="s">
        <v>122</v>
      </c>
      <c r="C196" t="s">
        <v>123</v>
      </c>
      <c r="D196">
        <v>2500</v>
      </c>
      <c r="E196" s="39">
        <v>45962</v>
      </c>
    </row>
    <row r="197" spans="1:6">
      <c r="A197" s="38">
        <v>45965</v>
      </c>
      <c r="B197" t="s">
        <v>140</v>
      </c>
      <c r="C197" t="s">
        <v>141</v>
      </c>
      <c r="D197">
        <v>2500</v>
      </c>
      <c r="E197" s="39">
        <v>45962</v>
      </c>
    </row>
    <row r="198" spans="1:6">
      <c r="A198" s="38">
        <v>45965</v>
      </c>
      <c r="B198" t="s">
        <v>116</v>
      </c>
      <c r="C198" t="s">
        <v>117</v>
      </c>
      <c r="D198">
        <v>4500</v>
      </c>
      <c r="E198" s="39">
        <v>45962</v>
      </c>
    </row>
    <row r="199" spans="1:6">
      <c r="A199" s="38">
        <v>45965</v>
      </c>
      <c r="B199" t="s">
        <v>138</v>
      </c>
      <c r="C199" t="s">
        <v>139</v>
      </c>
      <c r="D199">
        <v>4500</v>
      </c>
      <c r="E199" s="39">
        <v>45962</v>
      </c>
    </row>
    <row r="200" spans="1:6">
      <c r="A200" s="38">
        <v>45965</v>
      </c>
      <c r="B200" t="s">
        <v>154</v>
      </c>
      <c r="C200" t="s">
        <v>155</v>
      </c>
      <c r="D200">
        <v>4500</v>
      </c>
      <c r="E200" s="39">
        <v>45962</v>
      </c>
    </row>
    <row r="201" spans="1:6">
      <c r="A201" s="38">
        <v>45970</v>
      </c>
      <c r="B201" t="s">
        <v>120</v>
      </c>
      <c r="C201" t="s">
        <v>121</v>
      </c>
      <c r="D201">
        <v>4500</v>
      </c>
      <c r="E201" s="39">
        <v>45962</v>
      </c>
    </row>
    <row r="202" spans="1:6">
      <c r="A202" s="38">
        <v>45973</v>
      </c>
      <c r="B202" t="s">
        <v>150</v>
      </c>
      <c r="C202" t="s">
        <v>151</v>
      </c>
      <c r="D202">
        <v>4500</v>
      </c>
      <c r="E202" s="39">
        <v>45962</v>
      </c>
    </row>
    <row r="203" spans="1:6">
      <c r="A203" s="38">
        <v>46003</v>
      </c>
      <c r="B203" t="s">
        <v>146</v>
      </c>
      <c r="C203" t="s">
        <v>147</v>
      </c>
      <c r="D203">
        <v>2000</v>
      </c>
      <c r="E203" s="39">
        <v>45962</v>
      </c>
    </row>
    <row r="204" spans="1:6">
      <c r="A204" s="38">
        <v>46009</v>
      </c>
      <c r="B204" t="s">
        <v>124</v>
      </c>
      <c r="C204" t="s">
        <v>125</v>
      </c>
      <c r="D204">
        <v>2000</v>
      </c>
      <c r="E204" s="39">
        <v>45962</v>
      </c>
    </row>
    <row r="205" spans="1:6">
      <c r="A205" s="38">
        <v>45970</v>
      </c>
      <c r="B205" t="s">
        <v>181</v>
      </c>
      <c r="C205" t="s">
        <v>158</v>
      </c>
      <c r="D205">
        <v>4500</v>
      </c>
      <c r="E205" s="39">
        <v>45963</v>
      </c>
      <c r="F205" t="s">
        <v>182</v>
      </c>
    </row>
    <row r="206" spans="1:6">
      <c r="A206" s="38">
        <v>45971</v>
      </c>
      <c r="B206" t="s">
        <v>130</v>
      </c>
      <c r="C206" t="s">
        <v>131</v>
      </c>
      <c r="D206">
        <v>4500</v>
      </c>
      <c r="E206" s="39">
        <v>45964</v>
      </c>
    </row>
    <row r="207" spans="1:6">
      <c r="A207" s="38">
        <v>45971</v>
      </c>
      <c r="B207" t="s">
        <v>136</v>
      </c>
      <c r="C207" t="s">
        <v>137</v>
      </c>
      <c r="D207">
        <v>2500</v>
      </c>
      <c r="E207" s="39">
        <v>45965</v>
      </c>
    </row>
    <row r="208" spans="1:6">
      <c r="A208" s="38">
        <v>45971</v>
      </c>
      <c r="B208" t="s">
        <v>136</v>
      </c>
      <c r="C208" t="s">
        <v>137</v>
      </c>
      <c r="D208">
        <v>2000</v>
      </c>
      <c r="E208" s="39">
        <v>45966</v>
      </c>
    </row>
    <row r="209" spans="1:5">
      <c r="A209" s="38">
        <v>45971</v>
      </c>
      <c r="B209" t="s">
        <v>142</v>
      </c>
      <c r="C209" t="s">
        <v>143</v>
      </c>
      <c r="D209">
        <v>4500</v>
      </c>
      <c r="E209" s="39">
        <v>45967</v>
      </c>
    </row>
    <row r="210" spans="1:5">
      <c r="A210" s="38">
        <v>45973</v>
      </c>
      <c r="B210" t="s">
        <v>146</v>
      </c>
      <c r="C210" t="s">
        <v>147</v>
      </c>
      <c r="D210">
        <v>2500</v>
      </c>
      <c r="E210" s="39">
        <v>45968</v>
      </c>
    </row>
    <row r="211" spans="1:5">
      <c r="A211" s="38">
        <v>45973</v>
      </c>
      <c r="B211" t="s">
        <v>148</v>
      </c>
      <c r="C211" t="s">
        <v>149</v>
      </c>
      <c r="D211">
        <v>4500</v>
      </c>
      <c r="E211" s="39">
        <v>45969</v>
      </c>
    </row>
    <row r="212" spans="1:5">
      <c r="A212" s="38">
        <v>45973</v>
      </c>
      <c r="B212" t="s">
        <v>144</v>
      </c>
      <c r="C212" t="s">
        <v>145</v>
      </c>
      <c r="D212">
        <v>2500</v>
      </c>
      <c r="E212" s="39">
        <v>45969</v>
      </c>
    </row>
    <row r="213" spans="1:5">
      <c r="A213" s="38">
        <v>45973</v>
      </c>
      <c r="B213" t="s">
        <v>144</v>
      </c>
      <c r="C213" t="s">
        <v>145</v>
      </c>
      <c r="D213">
        <v>2000</v>
      </c>
      <c r="E213" s="39">
        <v>45969</v>
      </c>
    </row>
    <row r="214" spans="1:5">
      <c r="A214" s="38">
        <v>45977</v>
      </c>
      <c r="B214" t="s">
        <v>160</v>
      </c>
      <c r="C214" t="s">
        <v>161</v>
      </c>
      <c r="D214">
        <v>5000</v>
      </c>
      <c r="E214" s="39">
        <v>45969</v>
      </c>
    </row>
    <row r="215" spans="1:5">
      <c r="A215" s="38">
        <v>45990</v>
      </c>
      <c r="B215" t="s">
        <v>118</v>
      </c>
      <c r="C215" t="s">
        <v>119</v>
      </c>
      <c r="D215">
        <v>2500</v>
      </c>
      <c r="E215" s="39">
        <v>45969</v>
      </c>
    </row>
    <row r="216" spans="1:5">
      <c r="A216" s="38">
        <v>45990</v>
      </c>
      <c r="B216" t="s">
        <v>118</v>
      </c>
      <c r="C216" t="s">
        <v>119</v>
      </c>
      <c r="D216">
        <v>2000</v>
      </c>
      <c r="E216" s="39">
        <v>45969</v>
      </c>
    </row>
    <row r="217" spans="1:5">
      <c r="A217" s="38">
        <v>46001</v>
      </c>
      <c r="B217" t="s">
        <v>128</v>
      </c>
      <c r="C217" t="s">
        <v>129</v>
      </c>
      <c r="D217">
        <v>4500</v>
      </c>
      <c r="E217" s="39">
        <v>45971</v>
      </c>
    </row>
    <row r="218" spans="1:5">
      <c r="A218" s="38">
        <v>45992</v>
      </c>
      <c r="B218" t="s">
        <v>116</v>
      </c>
      <c r="C218" t="s">
        <v>139</v>
      </c>
      <c r="D218">
        <v>4500</v>
      </c>
      <c r="E218" s="39">
        <v>46002</v>
      </c>
    </row>
    <row r="219" spans="1:5">
      <c r="A219" s="38">
        <v>45992</v>
      </c>
      <c r="B219" t="s">
        <v>116</v>
      </c>
      <c r="C219" t="s">
        <v>117</v>
      </c>
      <c r="D219">
        <v>4500</v>
      </c>
      <c r="E219" s="39">
        <v>46003</v>
      </c>
    </row>
    <row r="220" spans="1:5">
      <c r="A220" s="38">
        <v>45992</v>
      </c>
      <c r="B220" t="s">
        <v>130</v>
      </c>
      <c r="C220" t="s">
        <v>131</v>
      </c>
      <c r="D220">
        <v>4500</v>
      </c>
      <c r="E220" s="39">
        <v>46004</v>
      </c>
    </row>
    <row r="221" spans="1:5">
      <c r="A221" s="38">
        <v>45993</v>
      </c>
      <c r="B221" t="s">
        <v>114</v>
      </c>
      <c r="C221" t="s">
        <v>115</v>
      </c>
      <c r="D221">
        <v>5000</v>
      </c>
      <c r="E221" s="39">
        <v>46005</v>
      </c>
    </row>
    <row r="222" spans="1:5">
      <c r="A222" s="38">
        <v>45993</v>
      </c>
      <c r="B222" t="s">
        <v>124</v>
      </c>
      <c r="C222" t="s">
        <v>125</v>
      </c>
      <c r="D222">
        <v>2500</v>
      </c>
      <c r="E222" s="39">
        <v>46006</v>
      </c>
    </row>
    <row r="223" spans="1:5">
      <c r="A223" s="38">
        <v>45993</v>
      </c>
      <c r="B223" t="s">
        <v>122</v>
      </c>
      <c r="C223" t="s">
        <v>123</v>
      </c>
      <c r="D223">
        <v>2500</v>
      </c>
      <c r="E223" s="39">
        <v>46007</v>
      </c>
    </row>
    <row r="224" spans="1:5">
      <c r="A224" s="38">
        <v>45994</v>
      </c>
      <c r="B224" t="s">
        <v>179</v>
      </c>
      <c r="C224" t="s">
        <v>163</v>
      </c>
      <c r="D224">
        <v>4500</v>
      </c>
      <c r="E224" s="39">
        <v>46008</v>
      </c>
    </row>
    <row r="225" spans="1:6">
      <c r="A225" s="38">
        <v>45994</v>
      </c>
      <c r="B225" t="s">
        <v>181</v>
      </c>
      <c r="C225" t="s">
        <v>158</v>
      </c>
      <c r="D225">
        <v>4500</v>
      </c>
      <c r="E225" s="39">
        <v>46009</v>
      </c>
    </row>
    <row r="226" spans="1:6">
      <c r="A226" s="38">
        <v>45994</v>
      </c>
      <c r="B226" t="s">
        <v>120</v>
      </c>
      <c r="C226" t="s">
        <v>121</v>
      </c>
      <c r="D226">
        <v>4500</v>
      </c>
      <c r="E226" s="39">
        <v>46010</v>
      </c>
    </row>
    <row r="227" spans="1:6">
      <c r="A227" s="38">
        <v>45995</v>
      </c>
      <c r="B227" t="s">
        <v>140</v>
      </c>
      <c r="C227" t="s">
        <v>141</v>
      </c>
      <c r="D227">
        <v>2500</v>
      </c>
      <c r="E227" s="39">
        <v>46011</v>
      </c>
    </row>
    <row r="228" spans="1:6">
      <c r="A228" s="38">
        <v>45996</v>
      </c>
      <c r="B228" t="s">
        <v>132</v>
      </c>
      <c r="C228" t="s">
        <v>133</v>
      </c>
      <c r="D228">
        <v>4500</v>
      </c>
      <c r="E228" s="39">
        <v>46012</v>
      </c>
    </row>
    <row r="229" spans="1:6">
      <c r="A229" s="38">
        <v>45997</v>
      </c>
      <c r="B229" t="s">
        <v>134</v>
      </c>
      <c r="C229" t="s">
        <v>135</v>
      </c>
      <c r="D229">
        <v>2500</v>
      </c>
      <c r="E229" s="39">
        <v>46013</v>
      </c>
    </row>
    <row r="230" spans="1:6">
      <c r="A230" s="38">
        <v>45998</v>
      </c>
      <c r="B230" t="s">
        <v>176</v>
      </c>
      <c r="C230" t="s">
        <v>127</v>
      </c>
      <c r="D230">
        <v>4500</v>
      </c>
      <c r="E230" s="39">
        <v>46014</v>
      </c>
    </row>
    <row r="231" spans="1:6">
      <c r="A231" s="38">
        <v>45998</v>
      </c>
      <c r="B231" t="s">
        <v>136</v>
      </c>
      <c r="C231" t="s">
        <v>137</v>
      </c>
      <c r="D231">
        <v>4500</v>
      </c>
      <c r="E231" s="39">
        <v>46015</v>
      </c>
    </row>
    <row r="232" spans="1:6">
      <c r="A232" s="38">
        <v>45998</v>
      </c>
      <c r="B232" t="s">
        <v>150</v>
      </c>
      <c r="C232" t="s">
        <v>151</v>
      </c>
      <c r="D232">
        <v>4500</v>
      </c>
      <c r="E232" s="39">
        <v>46016</v>
      </c>
    </row>
    <row r="233" spans="1:6">
      <c r="A233" s="38">
        <v>46001</v>
      </c>
      <c r="B233" t="s">
        <v>144</v>
      </c>
      <c r="C233" t="s">
        <v>145</v>
      </c>
      <c r="D233">
        <v>4500</v>
      </c>
      <c r="E233" s="39">
        <v>46017</v>
      </c>
    </row>
    <row r="234" spans="1:6">
      <c r="A234" s="38">
        <v>46001</v>
      </c>
      <c r="B234" t="s">
        <v>142</v>
      </c>
      <c r="C234" t="s">
        <v>143</v>
      </c>
      <c r="D234">
        <v>4500</v>
      </c>
      <c r="E234" s="39">
        <v>46018</v>
      </c>
    </row>
    <row r="235" spans="1:6">
      <c r="A235" s="38">
        <v>46001</v>
      </c>
      <c r="B235" t="s">
        <v>128</v>
      </c>
      <c r="C235" t="s">
        <v>129</v>
      </c>
      <c r="D235">
        <v>4500</v>
      </c>
      <c r="E235" s="39">
        <v>46019</v>
      </c>
    </row>
    <row r="236" spans="1:6">
      <c r="A236" s="38">
        <v>46002</v>
      </c>
      <c r="B236" t="s">
        <v>184</v>
      </c>
      <c r="C236" t="s">
        <v>123</v>
      </c>
      <c r="D236">
        <v>2000</v>
      </c>
      <c r="E236" s="39">
        <v>46019</v>
      </c>
      <c r="F236" t="s">
        <v>185</v>
      </c>
    </row>
    <row r="237" spans="1:6">
      <c r="A237" s="38">
        <v>46003</v>
      </c>
      <c r="B237" t="s">
        <v>146</v>
      </c>
      <c r="C237" t="s">
        <v>147</v>
      </c>
      <c r="D237">
        <v>2500</v>
      </c>
      <c r="E237" s="39">
        <v>46019</v>
      </c>
    </row>
    <row r="238" spans="1:6">
      <c r="A238" s="38">
        <v>46003</v>
      </c>
      <c r="B238" t="s">
        <v>148</v>
      </c>
      <c r="C238" t="s">
        <v>149</v>
      </c>
      <c r="D238">
        <v>4500</v>
      </c>
      <c r="E238" s="39">
        <v>46020</v>
      </c>
    </row>
    <row r="239" spans="1:6">
      <c r="A239" s="38">
        <v>46003</v>
      </c>
      <c r="B239" t="s">
        <v>154</v>
      </c>
      <c r="C239" t="s">
        <v>155</v>
      </c>
      <c r="D239">
        <v>4500</v>
      </c>
      <c r="E239" s="39">
        <v>46021</v>
      </c>
    </row>
    <row r="240" spans="1:6">
      <c r="A240" s="38">
        <v>46003</v>
      </c>
      <c r="B240" t="s">
        <v>146</v>
      </c>
      <c r="C240" t="s">
        <v>147</v>
      </c>
      <c r="D240">
        <v>2000</v>
      </c>
      <c r="E240" s="39">
        <v>46022</v>
      </c>
    </row>
    <row r="241" spans="1:6">
      <c r="A241" s="38">
        <v>46009</v>
      </c>
      <c r="B241" t="s">
        <v>124</v>
      </c>
      <c r="C241" t="s">
        <v>125</v>
      </c>
      <c r="D241">
        <v>2000</v>
      </c>
      <c r="E241" s="39">
        <v>46022</v>
      </c>
    </row>
    <row r="242" spans="1:6">
      <c r="A242" s="38">
        <v>46021</v>
      </c>
      <c r="B242" t="s">
        <v>114</v>
      </c>
      <c r="C242" t="s">
        <v>115</v>
      </c>
      <c r="D242">
        <v>4500</v>
      </c>
      <c r="E242" s="39">
        <v>46022</v>
      </c>
    </row>
    <row r="243" spans="1:6">
      <c r="A243" s="38">
        <v>46023</v>
      </c>
      <c r="B243" t="s">
        <v>130</v>
      </c>
      <c r="C243" t="s">
        <v>131</v>
      </c>
      <c r="D243">
        <v>4500</v>
      </c>
      <c r="E243" s="39">
        <v>46027</v>
      </c>
    </row>
    <row r="244" spans="1:6">
      <c r="A244" s="38">
        <v>46023</v>
      </c>
      <c r="B244" t="s">
        <v>128</v>
      </c>
      <c r="C244" t="s">
        <v>129</v>
      </c>
      <c r="D244">
        <v>4500</v>
      </c>
      <c r="E244" s="39">
        <v>46028</v>
      </c>
    </row>
    <row r="245" spans="1:6">
      <c r="A245" s="38">
        <v>46025</v>
      </c>
      <c r="B245" t="s">
        <v>120</v>
      </c>
      <c r="C245" t="s">
        <v>121</v>
      </c>
      <c r="D245">
        <v>4500</v>
      </c>
      <c r="E245" s="39">
        <v>46029</v>
      </c>
    </row>
    <row r="246" spans="1:6">
      <c r="A246" s="38">
        <v>46025</v>
      </c>
      <c r="B246" t="s">
        <v>186</v>
      </c>
      <c r="C246" t="s">
        <v>119</v>
      </c>
      <c r="D246">
        <v>4500</v>
      </c>
      <c r="E246" s="39">
        <v>46029</v>
      </c>
    </row>
    <row r="247" spans="1:6">
      <c r="A247" s="38">
        <v>46025</v>
      </c>
      <c r="B247" t="s">
        <v>122</v>
      </c>
      <c r="C247" t="s">
        <v>123</v>
      </c>
      <c r="D247">
        <v>2500</v>
      </c>
      <c r="E247" s="39">
        <v>46029</v>
      </c>
    </row>
    <row r="248" spans="1:6">
      <c r="A248" s="38">
        <v>46027</v>
      </c>
      <c r="B248" t="s">
        <v>132</v>
      </c>
      <c r="C248" t="s">
        <v>133</v>
      </c>
      <c r="D248">
        <v>4500</v>
      </c>
      <c r="E248" s="39">
        <v>46029</v>
      </c>
    </row>
    <row r="249" spans="1:6">
      <c r="A249" s="38">
        <v>46027</v>
      </c>
      <c r="B249" t="s">
        <v>124</v>
      </c>
      <c r="C249" t="s">
        <v>125</v>
      </c>
      <c r="D249">
        <v>2500</v>
      </c>
      <c r="E249" s="39">
        <v>46029</v>
      </c>
    </row>
    <row r="250" spans="1:6">
      <c r="A250" s="38">
        <v>46027</v>
      </c>
      <c r="B250" t="s">
        <v>140</v>
      </c>
      <c r="C250" t="s">
        <v>141</v>
      </c>
      <c r="D250">
        <v>2500</v>
      </c>
      <c r="E250" s="39">
        <v>46029</v>
      </c>
    </row>
    <row r="251" spans="1:6">
      <c r="A251" s="38">
        <v>46027</v>
      </c>
      <c r="B251" t="s">
        <v>184</v>
      </c>
      <c r="C251" t="s">
        <v>123</v>
      </c>
      <c r="D251">
        <v>2000</v>
      </c>
      <c r="E251" s="39">
        <v>46029</v>
      </c>
    </row>
    <row r="252" spans="1:6">
      <c r="A252" s="38">
        <v>46027</v>
      </c>
      <c r="B252" t="s">
        <v>134</v>
      </c>
      <c r="C252" t="s">
        <v>135</v>
      </c>
      <c r="D252">
        <v>2500</v>
      </c>
      <c r="E252" s="39">
        <v>46029</v>
      </c>
    </row>
    <row r="253" spans="1:6">
      <c r="A253" s="38">
        <v>46029</v>
      </c>
      <c r="B253" t="s">
        <v>136</v>
      </c>
      <c r="C253" t="s">
        <v>137</v>
      </c>
      <c r="D253">
        <v>4500</v>
      </c>
      <c r="E253" s="39">
        <v>46029</v>
      </c>
      <c r="F253" t="s">
        <v>187</v>
      </c>
    </row>
    <row r="254" spans="1:6">
      <c r="A254" s="38">
        <v>46029</v>
      </c>
      <c r="B254" t="s">
        <v>176</v>
      </c>
      <c r="C254" t="s">
        <v>127</v>
      </c>
      <c r="D254">
        <v>4500</v>
      </c>
      <c r="E254" s="39">
        <v>46029</v>
      </c>
      <c r="F254" t="s">
        <v>187</v>
      </c>
    </row>
    <row r="255" spans="1:6">
      <c r="A255" s="38">
        <v>46030</v>
      </c>
      <c r="B255" t="s">
        <v>124</v>
      </c>
      <c r="C255" t="s">
        <v>125</v>
      </c>
      <c r="D255">
        <v>2000</v>
      </c>
      <c r="E255" s="39">
        <v>46029</v>
      </c>
    </row>
    <row r="256" spans="1:6">
      <c r="A256" s="38">
        <v>46031</v>
      </c>
      <c r="B256" t="s">
        <v>116</v>
      </c>
      <c r="C256" t="s">
        <v>117</v>
      </c>
      <c r="D256">
        <v>4500</v>
      </c>
      <c r="E256" s="39">
        <v>46029</v>
      </c>
    </row>
    <row r="257" spans="1:6">
      <c r="A257" s="38">
        <v>46031</v>
      </c>
      <c r="B257" t="s">
        <v>138</v>
      </c>
      <c r="C257" t="s">
        <v>139</v>
      </c>
      <c r="D257">
        <v>4500</v>
      </c>
      <c r="E257" s="39">
        <v>46029</v>
      </c>
    </row>
    <row r="258" spans="1:6">
      <c r="A258" s="38">
        <v>46031</v>
      </c>
      <c r="B258" t="s">
        <v>144</v>
      </c>
      <c r="C258" t="s">
        <v>145</v>
      </c>
      <c r="D258">
        <v>4500</v>
      </c>
      <c r="E258" s="39">
        <v>46029</v>
      </c>
    </row>
    <row r="259" spans="1:6">
      <c r="A259" s="38">
        <v>46032</v>
      </c>
      <c r="B259" t="s">
        <v>142</v>
      </c>
      <c r="C259" t="s">
        <v>143</v>
      </c>
      <c r="D259">
        <v>4500</v>
      </c>
      <c r="E259" s="39">
        <v>46029</v>
      </c>
    </row>
    <row r="260" spans="1:6">
      <c r="A260" s="38">
        <v>46034</v>
      </c>
      <c r="B260" t="s">
        <v>146</v>
      </c>
      <c r="C260" t="s">
        <v>147</v>
      </c>
      <c r="D260">
        <v>4500</v>
      </c>
      <c r="E260" s="39">
        <v>46023</v>
      </c>
    </row>
    <row r="261" spans="1:6">
      <c r="A261" s="38">
        <v>46034</v>
      </c>
      <c r="B261" t="s">
        <v>188</v>
      </c>
      <c r="C261" t="s">
        <v>135</v>
      </c>
      <c r="D261">
        <v>2000</v>
      </c>
      <c r="E261" s="39">
        <v>45962</v>
      </c>
      <c r="F261" t="s">
        <v>189</v>
      </c>
    </row>
    <row r="262" spans="1:6">
      <c r="A262" s="38">
        <v>46034</v>
      </c>
      <c r="B262" t="s">
        <v>188</v>
      </c>
      <c r="C262" t="s">
        <v>135</v>
      </c>
      <c r="D262">
        <v>2000</v>
      </c>
      <c r="E262" s="39">
        <v>45996</v>
      </c>
      <c r="F262" t="s">
        <v>189</v>
      </c>
    </row>
    <row r="263" spans="1:6">
      <c r="A263" s="38">
        <v>46034</v>
      </c>
      <c r="B263" t="s">
        <v>188</v>
      </c>
      <c r="C263" t="s">
        <v>135</v>
      </c>
      <c r="D263">
        <v>2000</v>
      </c>
      <c r="E263" s="39">
        <v>46029</v>
      </c>
      <c r="F263" t="s">
        <v>189</v>
      </c>
    </row>
    <row r="264" spans="1:6">
      <c r="A264" s="38">
        <v>46034</v>
      </c>
      <c r="B264" t="s">
        <v>152</v>
      </c>
      <c r="C264" t="s">
        <v>153</v>
      </c>
      <c r="D264">
        <v>2000</v>
      </c>
      <c r="E264" s="39">
        <v>46029</v>
      </c>
      <c r="F264" t="s">
        <v>190</v>
      </c>
    </row>
    <row r="265" spans="1:6">
      <c r="A265" s="38">
        <v>46034</v>
      </c>
      <c r="B265" t="s">
        <v>152</v>
      </c>
      <c r="C265" t="s">
        <v>153</v>
      </c>
      <c r="D265">
        <v>2000</v>
      </c>
      <c r="E265" s="39">
        <v>46029</v>
      </c>
      <c r="F265" t="s">
        <v>190</v>
      </c>
    </row>
    <row r="266" spans="1:6">
      <c r="A266" s="38">
        <v>46034</v>
      </c>
      <c r="B266" t="s">
        <v>152</v>
      </c>
      <c r="C266" t="s">
        <v>153</v>
      </c>
      <c r="D266">
        <v>2000</v>
      </c>
      <c r="E266" s="39">
        <v>46029</v>
      </c>
      <c r="F266" t="s">
        <v>190</v>
      </c>
    </row>
    <row r="267" spans="1:6">
      <c r="A267" s="38">
        <v>46034</v>
      </c>
      <c r="B267" t="s">
        <v>152</v>
      </c>
      <c r="C267" t="s">
        <v>153</v>
      </c>
      <c r="D267">
        <v>2500</v>
      </c>
      <c r="E267" s="39">
        <v>45962</v>
      </c>
      <c r="F267" t="s">
        <v>191</v>
      </c>
    </row>
    <row r="268" spans="1:6">
      <c r="A268" s="38">
        <v>46034</v>
      </c>
      <c r="B268" t="s">
        <v>152</v>
      </c>
      <c r="C268" t="s">
        <v>153</v>
      </c>
      <c r="D268">
        <v>2500</v>
      </c>
      <c r="E268" s="39">
        <v>45992</v>
      </c>
      <c r="F268" t="s">
        <v>191</v>
      </c>
    </row>
    <row r="269" spans="1:6">
      <c r="A269" s="38">
        <v>46034</v>
      </c>
      <c r="B269" t="s">
        <v>152</v>
      </c>
      <c r="C269" t="s">
        <v>153</v>
      </c>
      <c r="D269">
        <v>2500</v>
      </c>
      <c r="E269" s="39">
        <v>46029</v>
      </c>
      <c r="F269" t="s">
        <v>191</v>
      </c>
    </row>
    <row r="270" spans="1:6">
      <c r="A270" s="38">
        <v>46034</v>
      </c>
      <c r="B270" t="s">
        <v>154</v>
      </c>
      <c r="C270" t="s">
        <v>155</v>
      </c>
      <c r="D270">
        <v>4500</v>
      </c>
      <c r="E270" s="39">
        <v>46029</v>
      </c>
    </row>
    <row r="271" spans="1:6">
      <c r="A271" s="38">
        <v>46036</v>
      </c>
      <c r="B271" t="s">
        <v>148</v>
      </c>
      <c r="C271" t="s">
        <v>149</v>
      </c>
      <c r="D271">
        <v>4500</v>
      </c>
      <c r="E271" s="39">
        <v>46029</v>
      </c>
    </row>
    <row r="272" spans="1:6">
      <c r="A272" s="38">
        <v>46046</v>
      </c>
      <c r="B272" t="s">
        <v>150</v>
      </c>
      <c r="C272" t="s">
        <v>151</v>
      </c>
      <c r="D272">
        <v>4500</v>
      </c>
      <c r="E272" s="39">
        <v>46029</v>
      </c>
    </row>
    <row r="273" spans="1:5">
      <c r="A273" s="38">
        <v>46051</v>
      </c>
      <c r="B273" t="s">
        <v>192</v>
      </c>
      <c r="C273" t="s">
        <v>161</v>
      </c>
      <c r="D273">
        <v>5000</v>
      </c>
      <c r="E273" s="39">
        <v>46029</v>
      </c>
    </row>
    <row r="274" spans="1:5">
      <c r="A274" s="38">
        <v>46053</v>
      </c>
      <c r="B274" t="s">
        <v>114</v>
      </c>
      <c r="C274" t="s">
        <v>115</v>
      </c>
      <c r="D274">
        <v>4500</v>
      </c>
      <c r="E274" s="39">
        <v>46029</v>
      </c>
    </row>
  </sheetData>
  <autoFilter ref="A1:F274" xr:uid="{7C458767-54B4-4F18-9B0B-7CD169DE7ACE}">
    <sortState xmlns:xlrd2="http://schemas.microsoft.com/office/spreadsheetml/2017/richdata2" ref="A2:F252">
      <sortCondition ref="E1:E252"/>
    </sortState>
  </autoFilter>
  <sortState xmlns:xlrd2="http://schemas.microsoft.com/office/spreadsheetml/2017/richdata2" ref="A2:XFD1048576">
    <sortCondition ref="A2:A1048576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6580-0351-4892-AC43-018AEFF49FEF}">
  <dimension ref="A3:Y29"/>
  <sheetViews>
    <sheetView workbookViewId="0">
      <selection activeCell="H15" sqref="H15"/>
    </sheetView>
  </sheetViews>
  <sheetFormatPr defaultRowHeight="15"/>
  <cols>
    <col min="1" max="1" width="11.42578125" bestFit="1" customWidth="1"/>
    <col min="2" max="2" width="14.7109375" bestFit="1" customWidth="1"/>
    <col min="3" max="3" width="7.42578125" bestFit="1" customWidth="1"/>
    <col min="4" max="4" width="7.7109375" bestFit="1" customWidth="1"/>
    <col min="5" max="5" width="5.42578125" bestFit="1" customWidth="1"/>
    <col min="6" max="7" width="6.5703125" bestFit="1" customWidth="1"/>
    <col min="8" max="8" width="11.42578125" bestFit="1" customWidth="1"/>
  </cols>
  <sheetData>
    <row r="3" spans="1:25">
      <c r="A3" s="43" t="s">
        <v>111</v>
      </c>
      <c r="B3" t="s">
        <v>193</v>
      </c>
    </row>
    <row r="4" spans="1:25">
      <c r="A4" t="s">
        <v>133</v>
      </c>
      <c r="B4">
        <v>33500</v>
      </c>
      <c r="C4">
        <f>B4-33500</f>
        <v>0</v>
      </c>
    </row>
    <row r="5" spans="1:25">
      <c r="A5" t="s">
        <v>139</v>
      </c>
      <c r="B5">
        <v>33500</v>
      </c>
      <c r="C5">
        <f t="shared" ref="C5:C27" si="0">B5-33500</f>
        <v>0</v>
      </c>
    </row>
    <row r="6" spans="1:25">
      <c r="A6" t="s">
        <v>117</v>
      </c>
      <c r="B6">
        <v>33500</v>
      </c>
      <c r="C6">
        <f t="shared" si="0"/>
        <v>0</v>
      </c>
      <c r="Y6" t="s">
        <v>194</v>
      </c>
    </row>
    <row r="7" spans="1:25">
      <c r="A7" t="s">
        <v>141</v>
      </c>
      <c r="B7">
        <v>27500</v>
      </c>
      <c r="C7">
        <f t="shared" si="0"/>
        <v>-6000</v>
      </c>
      <c r="Y7" t="s">
        <v>195</v>
      </c>
    </row>
    <row r="8" spans="1:25">
      <c r="A8" t="s">
        <v>119</v>
      </c>
      <c r="B8">
        <v>33500</v>
      </c>
      <c r="C8">
        <f t="shared" si="0"/>
        <v>0</v>
      </c>
      <c r="Y8" t="s">
        <v>196</v>
      </c>
    </row>
    <row r="9" spans="1:25">
      <c r="A9" t="s">
        <v>161</v>
      </c>
      <c r="B9">
        <v>30000</v>
      </c>
      <c r="C9">
        <f t="shared" si="0"/>
        <v>-3500</v>
      </c>
      <c r="Y9" t="s">
        <v>197</v>
      </c>
    </row>
    <row r="10" spans="1:25">
      <c r="A10" t="s">
        <v>158</v>
      </c>
      <c r="B10">
        <v>29000</v>
      </c>
      <c r="C10">
        <f t="shared" si="0"/>
        <v>-4500</v>
      </c>
    </row>
    <row r="11" spans="1:25">
      <c r="A11" t="s">
        <v>163</v>
      </c>
      <c r="B11">
        <v>24500</v>
      </c>
      <c r="C11">
        <f t="shared" si="0"/>
        <v>-9000</v>
      </c>
    </row>
    <row r="12" spans="1:25">
      <c r="A12" t="s">
        <v>149</v>
      </c>
      <c r="B12">
        <v>33500</v>
      </c>
      <c r="C12">
        <f t="shared" si="0"/>
        <v>0</v>
      </c>
    </row>
    <row r="13" spans="1:25">
      <c r="A13" t="s">
        <v>145</v>
      </c>
      <c r="B13">
        <v>33500</v>
      </c>
      <c r="C13">
        <f t="shared" si="0"/>
        <v>0</v>
      </c>
    </row>
    <row r="14" spans="1:25">
      <c r="A14" t="s">
        <v>121</v>
      </c>
      <c r="B14">
        <v>33500</v>
      </c>
      <c r="C14">
        <f t="shared" si="0"/>
        <v>0</v>
      </c>
    </row>
    <row r="15" spans="1:25">
      <c r="A15" t="s">
        <v>123</v>
      </c>
      <c r="B15">
        <v>31500</v>
      </c>
      <c r="C15">
        <f t="shared" si="0"/>
        <v>-2000</v>
      </c>
    </row>
    <row r="16" spans="1:25">
      <c r="A16" t="s">
        <v>143</v>
      </c>
      <c r="B16">
        <v>33500</v>
      </c>
      <c r="C16">
        <f t="shared" si="0"/>
        <v>0</v>
      </c>
    </row>
    <row r="17" spans="1:3">
      <c r="A17" t="s">
        <v>125</v>
      </c>
      <c r="B17">
        <v>33500</v>
      </c>
      <c r="C17">
        <f t="shared" si="0"/>
        <v>0</v>
      </c>
    </row>
    <row r="18" spans="1:3">
      <c r="A18" t="s">
        <v>155</v>
      </c>
      <c r="B18">
        <v>33500</v>
      </c>
      <c r="C18">
        <f t="shared" si="0"/>
        <v>0</v>
      </c>
    </row>
    <row r="19" spans="1:3">
      <c r="A19" t="s">
        <v>147</v>
      </c>
      <c r="B19">
        <v>33500</v>
      </c>
      <c r="C19">
        <f t="shared" si="0"/>
        <v>0</v>
      </c>
    </row>
    <row r="20" spans="1:3">
      <c r="A20" t="s">
        <v>137</v>
      </c>
      <c r="B20">
        <v>33500</v>
      </c>
      <c r="C20">
        <f t="shared" si="0"/>
        <v>0</v>
      </c>
    </row>
    <row r="21" spans="1:3">
      <c r="A21" t="s">
        <v>151</v>
      </c>
      <c r="B21">
        <v>34000</v>
      </c>
      <c r="C21">
        <f t="shared" si="0"/>
        <v>500</v>
      </c>
    </row>
    <row r="22" spans="1:3">
      <c r="A22" t="s">
        <v>135</v>
      </c>
      <c r="B22">
        <v>33500</v>
      </c>
      <c r="C22">
        <f t="shared" si="0"/>
        <v>0</v>
      </c>
    </row>
    <row r="23" spans="1:3">
      <c r="A23" t="s">
        <v>153</v>
      </c>
      <c r="B23">
        <v>33500</v>
      </c>
      <c r="C23">
        <f t="shared" si="0"/>
        <v>0</v>
      </c>
    </row>
    <row r="24" spans="1:3">
      <c r="A24" t="s">
        <v>127</v>
      </c>
      <c r="B24">
        <v>33500</v>
      </c>
      <c r="C24">
        <f t="shared" si="0"/>
        <v>0</v>
      </c>
    </row>
    <row r="25" spans="1:3">
      <c r="A25" t="s">
        <v>115</v>
      </c>
      <c r="B25">
        <v>26500</v>
      </c>
      <c r="C25">
        <f t="shared" si="0"/>
        <v>-7000</v>
      </c>
    </row>
    <row r="26" spans="1:3">
      <c r="A26" t="s">
        <v>129</v>
      </c>
      <c r="B26">
        <v>33500</v>
      </c>
      <c r="C26">
        <f t="shared" si="0"/>
        <v>0</v>
      </c>
    </row>
    <row r="27" spans="1:3">
      <c r="A27" t="s">
        <v>131</v>
      </c>
      <c r="B27">
        <v>33500</v>
      </c>
      <c r="C27">
        <f t="shared" si="0"/>
        <v>0</v>
      </c>
    </row>
    <row r="28" spans="1:3">
      <c r="A28" t="s">
        <v>198</v>
      </c>
    </row>
    <row r="29" spans="1:3">
      <c r="A29" t="s">
        <v>199</v>
      </c>
      <c r="B29">
        <v>772500</v>
      </c>
    </row>
  </sheetData>
  <conditionalFormatting pivot="1" sqref="B4:B27">
    <cfRule type="cellIs" dxfId="1" priority="2" operator="lessThan">
      <formula>33500</formula>
    </cfRule>
  </conditionalFormatting>
  <conditionalFormatting pivot="1" sqref="B4:B27">
    <cfRule type="cellIs" dxfId="0" priority="1" operator="greaterThanOrEqual">
      <formula>33500</formula>
    </cfRule>
  </conditionalFormatting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53AB-2DD5-4A7D-8C78-9DCF418B181B}">
  <dimension ref="A1:G243"/>
  <sheetViews>
    <sheetView workbookViewId="0">
      <selection activeCell="B22" sqref="B22"/>
    </sheetView>
  </sheetViews>
  <sheetFormatPr defaultRowHeight="15"/>
  <cols>
    <col min="2" max="2" width="54" bestFit="1" customWidth="1"/>
    <col min="3" max="3" width="11.140625" bestFit="1" customWidth="1"/>
  </cols>
  <sheetData>
    <row r="1" spans="1:7">
      <c r="A1" t="s">
        <v>200</v>
      </c>
    </row>
    <row r="2" spans="1:7">
      <c r="A2" t="s">
        <v>111</v>
      </c>
      <c r="B2" t="s">
        <v>201</v>
      </c>
    </row>
    <row r="3" spans="1:7">
      <c r="A3" t="s">
        <v>163</v>
      </c>
      <c r="B3" s="44" t="s">
        <v>202</v>
      </c>
    </row>
    <row r="4" spans="1:7">
      <c r="A4" t="s">
        <v>123</v>
      </c>
      <c r="B4" s="45" t="s">
        <v>203</v>
      </c>
    </row>
    <row r="5" spans="1:7">
      <c r="A5" t="s">
        <v>133</v>
      </c>
      <c r="B5" s="45" t="s">
        <v>204</v>
      </c>
    </row>
    <row r="6" spans="1:7">
      <c r="A6" t="s">
        <v>141</v>
      </c>
      <c r="B6" t="s">
        <v>205</v>
      </c>
    </row>
    <row r="7" spans="1:7">
      <c r="A7" t="s">
        <v>161</v>
      </c>
      <c r="B7" t="s">
        <v>206</v>
      </c>
    </row>
    <row r="8" spans="1:7">
      <c r="A8" t="s">
        <v>135</v>
      </c>
      <c r="B8" t="s">
        <v>207</v>
      </c>
      <c r="C8" s="38"/>
      <c r="G8" s="39"/>
    </row>
    <row r="9" spans="1:7">
      <c r="A9" t="s">
        <v>153</v>
      </c>
      <c r="B9" t="s">
        <v>208</v>
      </c>
      <c r="C9" s="38"/>
      <c r="G9" s="39"/>
    </row>
    <row r="10" spans="1:7">
      <c r="A10" t="s">
        <v>115</v>
      </c>
      <c r="B10" t="s">
        <v>209</v>
      </c>
      <c r="C10" s="38"/>
      <c r="G10" s="39"/>
    </row>
    <row r="11" spans="1:7">
      <c r="C11" s="38"/>
      <c r="G11" s="39"/>
    </row>
    <row r="12" spans="1:7">
      <c r="A12" t="s">
        <v>210</v>
      </c>
      <c r="C12" s="38"/>
      <c r="G12" s="39"/>
    </row>
    <row r="13" spans="1:7">
      <c r="A13" t="s">
        <v>141</v>
      </c>
      <c r="B13" t="s">
        <v>211</v>
      </c>
      <c r="C13" s="38"/>
      <c r="G13" s="39"/>
    </row>
    <row r="14" spans="1:7">
      <c r="A14" t="s">
        <v>161</v>
      </c>
      <c r="B14" t="s">
        <v>212</v>
      </c>
      <c r="C14" s="38"/>
      <c r="G14" s="39"/>
    </row>
    <row r="15" spans="1:7">
      <c r="A15" t="s">
        <v>163</v>
      </c>
      <c r="B15" t="s">
        <v>213</v>
      </c>
      <c r="C15" s="38"/>
      <c r="G15" s="39"/>
    </row>
    <row r="16" spans="1:7">
      <c r="A16" t="s">
        <v>123</v>
      </c>
      <c r="B16" t="s">
        <v>214</v>
      </c>
      <c r="C16" s="38"/>
      <c r="G16" s="39"/>
    </row>
    <row r="17" spans="1:7">
      <c r="A17" t="s">
        <v>158</v>
      </c>
      <c r="B17" t="s">
        <v>215</v>
      </c>
      <c r="C17" s="38"/>
      <c r="G17" s="39"/>
    </row>
    <row r="18" spans="1:7">
      <c r="C18" s="38"/>
      <c r="G18" s="39"/>
    </row>
    <row r="19" spans="1:7">
      <c r="C19" s="38"/>
      <c r="G19" s="39"/>
    </row>
    <row r="20" spans="1:7">
      <c r="C20" s="38"/>
      <c r="G20" s="39"/>
    </row>
    <row r="21" spans="1:7">
      <c r="C21" s="38"/>
      <c r="G21" s="39"/>
    </row>
    <row r="22" spans="1:7">
      <c r="C22" s="38"/>
      <c r="G22" s="39"/>
    </row>
    <row r="23" spans="1:7">
      <c r="C23" s="38"/>
      <c r="G23" s="39"/>
    </row>
    <row r="24" spans="1:7">
      <c r="C24" s="38"/>
      <c r="G24" s="39"/>
    </row>
    <row r="25" spans="1:7">
      <c r="C25" s="38"/>
      <c r="G25" s="39"/>
    </row>
    <row r="26" spans="1:7">
      <c r="C26" s="38"/>
      <c r="G26" s="39"/>
    </row>
    <row r="27" spans="1:7">
      <c r="C27" s="38"/>
      <c r="G27" s="39"/>
    </row>
    <row r="28" spans="1:7">
      <c r="C28" s="38"/>
      <c r="G28" s="39"/>
    </row>
    <row r="29" spans="1:7">
      <c r="C29" s="38"/>
      <c r="G29" s="39"/>
    </row>
    <row r="30" spans="1:7">
      <c r="C30" s="38"/>
      <c r="G30" s="39"/>
    </row>
    <row r="31" spans="1:7">
      <c r="C31" s="38"/>
      <c r="G31" s="39"/>
    </row>
    <row r="32" spans="1:7">
      <c r="C32" s="38"/>
      <c r="G32" s="39"/>
    </row>
    <row r="33" spans="3:7">
      <c r="C33" s="38"/>
      <c r="G33" s="39"/>
    </row>
    <row r="34" spans="3:7">
      <c r="C34" s="38"/>
      <c r="G34" s="39"/>
    </row>
    <row r="35" spans="3:7">
      <c r="C35" s="38"/>
      <c r="G35" s="39"/>
    </row>
    <row r="36" spans="3:7">
      <c r="C36" s="38"/>
      <c r="G36" s="39"/>
    </row>
    <row r="37" spans="3:7">
      <c r="C37" s="38"/>
      <c r="G37" s="39"/>
    </row>
    <row r="38" spans="3:7">
      <c r="C38" s="38"/>
      <c r="G38" s="39"/>
    </row>
    <row r="39" spans="3:7">
      <c r="C39" s="38"/>
      <c r="G39" s="39"/>
    </row>
    <row r="40" spans="3:7">
      <c r="C40" s="38"/>
      <c r="G40" s="39"/>
    </row>
    <row r="41" spans="3:7">
      <c r="C41" s="38"/>
      <c r="G41" s="39"/>
    </row>
    <row r="42" spans="3:7">
      <c r="C42" s="38"/>
      <c r="G42" s="39"/>
    </row>
    <row r="43" spans="3:7">
      <c r="C43" s="38"/>
      <c r="G43" s="39"/>
    </row>
    <row r="44" spans="3:7">
      <c r="C44" s="38"/>
      <c r="G44" s="39"/>
    </row>
    <row r="45" spans="3:7">
      <c r="C45" s="38"/>
      <c r="G45" s="39"/>
    </row>
    <row r="46" spans="3:7">
      <c r="C46" s="38"/>
      <c r="G46" s="39"/>
    </row>
    <row r="47" spans="3:7">
      <c r="C47" s="38"/>
      <c r="G47" s="39"/>
    </row>
    <row r="48" spans="3:7">
      <c r="C48" s="38"/>
      <c r="G48" s="39"/>
    </row>
    <row r="49" spans="3:7">
      <c r="C49" s="38"/>
      <c r="G49" s="39"/>
    </row>
    <row r="50" spans="3:7">
      <c r="C50" s="38"/>
      <c r="G50" s="39"/>
    </row>
    <row r="51" spans="3:7">
      <c r="C51" s="38"/>
      <c r="G51" s="39"/>
    </row>
    <row r="52" spans="3:7">
      <c r="C52" s="38"/>
      <c r="G52" s="39"/>
    </row>
    <row r="53" spans="3:7">
      <c r="C53" s="38"/>
      <c r="G53" s="39"/>
    </row>
    <row r="54" spans="3:7">
      <c r="C54" s="38"/>
      <c r="G54" s="39"/>
    </row>
    <row r="55" spans="3:7">
      <c r="C55" s="38"/>
      <c r="G55" s="39"/>
    </row>
    <row r="56" spans="3:7">
      <c r="C56" s="38"/>
      <c r="G56" s="39"/>
    </row>
    <row r="57" spans="3:7">
      <c r="C57" s="38"/>
      <c r="G57" s="39"/>
    </row>
    <row r="58" spans="3:7">
      <c r="C58" s="38"/>
      <c r="G58" s="39"/>
    </row>
    <row r="59" spans="3:7">
      <c r="C59" s="38"/>
      <c r="G59" s="39"/>
    </row>
    <row r="60" spans="3:7">
      <c r="C60" s="38"/>
      <c r="G60" s="39"/>
    </row>
    <row r="61" spans="3:7">
      <c r="C61" s="38"/>
      <c r="G61" s="39"/>
    </row>
    <row r="62" spans="3:7">
      <c r="C62" s="38"/>
      <c r="G62" s="39"/>
    </row>
    <row r="63" spans="3:7">
      <c r="C63" s="38"/>
      <c r="G63" s="39"/>
    </row>
    <row r="64" spans="3:7">
      <c r="C64" s="38"/>
      <c r="G64" s="39"/>
    </row>
    <row r="65" spans="3:7">
      <c r="C65" s="38"/>
      <c r="G65" s="39"/>
    </row>
    <row r="66" spans="3:7">
      <c r="C66" s="38"/>
      <c r="G66" s="39"/>
    </row>
    <row r="67" spans="3:7">
      <c r="C67" s="38"/>
      <c r="G67" s="39"/>
    </row>
    <row r="68" spans="3:7">
      <c r="C68" s="38"/>
      <c r="G68" s="39"/>
    </row>
    <row r="69" spans="3:7">
      <c r="C69" s="38"/>
      <c r="G69" s="39"/>
    </row>
    <row r="70" spans="3:7">
      <c r="C70" s="38"/>
      <c r="G70" s="39"/>
    </row>
    <row r="71" spans="3:7">
      <c r="C71" s="38"/>
      <c r="G71" s="39"/>
    </row>
    <row r="72" spans="3:7">
      <c r="C72" s="38"/>
      <c r="G72" s="39"/>
    </row>
    <row r="73" spans="3:7">
      <c r="C73" s="38"/>
      <c r="G73" s="39"/>
    </row>
    <row r="74" spans="3:7">
      <c r="C74" s="38"/>
      <c r="G74" s="39"/>
    </row>
    <row r="75" spans="3:7">
      <c r="C75" s="38"/>
      <c r="G75" s="39"/>
    </row>
    <row r="76" spans="3:7">
      <c r="C76" s="38"/>
      <c r="G76" s="39"/>
    </row>
    <row r="77" spans="3:7">
      <c r="C77" s="38"/>
      <c r="G77" s="39"/>
    </row>
    <row r="78" spans="3:7">
      <c r="C78" s="38"/>
      <c r="G78" s="39"/>
    </row>
    <row r="79" spans="3:7">
      <c r="C79" s="38"/>
      <c r="G79" s="39"/>
    </row>
    <row r="80" spans="3:7">
      <c r="C80" s="38"/>
      <c r="G80" s="39"/>
    </row>
    <row r="81" spans="3:7">
      <c r="C81" s="38"/>
      <c r="G81" s="39"/>
    </row>
    <row r="82" spans="3:7">
      <c r="C82" s="38"/>
      <c r="G82" s="39"/>
    </row>
    <row r="83" spans="3:7">
      <c r="C83" s="38"/>
      <c r="G83" s="39"/>
    </row>
    <row r="84" spans="3:7">
      <c r="C84" s="38"/>
      <c r="G84" s="39"/>
    </row>
    <row r="85" spans="3:7">
      <c r="C85" s="38"/>
      <c r="G85" s="39"/>
    </row>
    <row r="86" spans="3:7">
      <c r="C86" s="38"/>
      <c r="G86" s="39"/>
    </row>
    <row r="87" spans="3:7">
      <c r="C87" s="38"/>
      <c r="G87" s="39"/>
    </row>
    <row r="88" spans="3:7">
      <c r="C88" s="38"/>
      <c r="G88" s="39"/>
    </row>
    <row r="89" spans="3:7">
      <c r="C89" s="38"/>
      <c r="G89" s="39"/>
    </row>
    <row r="90" spans="3:7">
      <c r="C90" s="38"/>
      <c r="G90" s="39"/>
    </row>
    <row r="91" spans="3:7">
      <c r="C91" s="38"/>
      <c r="G91" s="39"/>
    </row>
    <row r="92" spans="3:7">
      <c r="C92" s="38"/>
      <c r="G92" s="39"/>
    </row>
    <row r="93" spans="3:7">
      <c r="C93" s="38"/>
      <c r="G93" s="39"/>
    </row>
    <row r="94" spans="3:7">
      <c r="C94" s="38"/>
      <c r="G94" s="39"/>
    </row>
    <row r="95" spans="3:7">
      <c r="C95" s="38"/>
      <c r="G95" s="39"/>
    </row>
    <row r="96" spans="3:7">
      <c r="C96" s="38"/>
      <c r="G96" s="39"/>
    </row>
    <row r="97" spans="3:7">
      <c r="C97" s="38"/>
      <c r="G97" s="39"/>
    </row>
    <row r="98" spans="3:7">
      <c r="C98" s="38"/>
      <c r="G98" s="39"/>
    </row>
    <row r="99" spans="3:7">
      <c r="C99" s="38"/>
      <c r="G99" s="39"/>
    </row>
    <row r="100" spans="3:7">
      <c r="C100" s="38"/>
      <c r="G100" s="39"/>
    </row>
    <row r="101" spans="3:7">
      <c r="C101" s="38"/>
      <c r="G101" s="39"/>
    </row>
    <row r="102" spans="3:7">
      <c r="C102" s="38"/>
      <c r="G102" s="39"/>
    </row>
    <row r="103" spans="3:7">
      <c r="C103" s="38"/>
      <c r="G103" s="39"/>
    </row>
    <row r="104" spans="3:7">
      <c r="C104" s="38"/>
      <c r="G104" s="39"/>
    </row>
    <row r="105" spans="3:7">
      <c r="C105" s="38"/>
      <c r="G105" s="39"/>
    </row>
    <row r="106" spans="3:7">
      <c r="C106" s="38"/>
      <c r="G106" s="39"/>
    </row>
    <row r="107" spans="3:7">
      <c r="C107" s="38"/>
      <c r="G107" s="39"/>
    </row>
    <row r="108" spans="3:7">
      <c r="C108" s="38"/>
      <c r="G108" s="39"/>
    </row>
    <row r="109" spans="3:7">
      <c r="C109" s="38"/>
      <c r="G109" s="39"/>
    </row>
    <row r="110" spans="3:7">
      <c r="C110" s="38"/>
      <c r="G110" s="39"/>
    </row>
    <row r="111" spans="3:7">
      <c r="C111" s="38"/>
      <c r="G111" s="39"/>
    </row>
    <row r="112" spans="3:7">
      <c r="C112" s="38"/>
      <c r="G112" s="39"/>
    </row>
    <row r="113" spans="3:7">
      <c r="C113" s="38"/>
      <c r="G113" s="39"/>
    </row>
    <row r="114" spans="3:7">
      <c r="C114" s="38"/>
      <c r="G114" s="39"/>
    </row>
    <row r="115" spans="3:7">
      <c r="C115" s="38"/>
      <c r="G115" s="39"/>
    </row>
    <row r="116" spans="3:7">
      <c r="C116" s="38"/>
      <c r="G116" s="39"/>
    </row>
    <row r="117" spans="3:7">
      <c r="C117" s="38"/>
      <c r="G117" s="39"/>
    </row>
    <row r="118" spans="3:7">
      <c r="C118" s="38"/>
      <c r="G118" s="39"/>
    </row>
    <row r="119" spans="3:7">
      <c r="C119" s="38"/>
      <c r="G119" s="39"/>
    </row>
    <row r="120" spans="3:7">
      <c r="C120" s="38"/>
      <c r="G120" s="39"/>
    </row>
    <row r="121" spans="3:7">
      <c r="C121" s="38"/>
      <c r="G121" s="39"/>
    </row>
    <row r="122" spans="3:7">
      <c r="C122" s="38"/>
      <c r="G122" s="39"/>
    </row>
    <row r="123" spans="3:7">
      <c r="C123" s="38"/>
      <c r="G123" s="39"/>
    </row>
    <row r="124" spans="3:7">
      <c r="C124" s="38"/>
      <c r="G124" s="39"/>
    </row>
    <row r="125" spans="3:7">
      <c r="C125" s="38"/>
      <c r="G125" s="39"/>
    </row>
    <row r="126" spans="3:7">
      <c r="C126" s="38"/>
      <c r="G126" s="39"/>
    </row>
    <row r="127" spans="3:7">
      <c r="C127" s="38"/>
      <c r="G127" s="39"/>
    </row>
    <row r="128" spans="3:7">
      <c r="C128" s="38"/>
      <c r="G128" s="39"/>
    </row>
    <row r="129" spans="3:7">
      <c r="C129" s="38"/>
      <c r="G129" s="39"/>
    </row>
    <row r="130" spans="3:7">
      <c r="C130" s="38"/>
      <c r="G130" s="39"/>
    </row>
    <row r="131" spans="3:7">
      <c r="C131" s="38"/>
      <c r="G131" s="39"/>
    </row>
    <row r="132" spans="3:7">
      <c r="C132" s="38"/>
      <c r="G132" s="39"/>
    </row>
    <row r="133" spans="3:7">
      <c r="C133" s="38"/>
      <c r="G133" s="39"/>
    </row>
    <row r="134" spans="3:7">
      <c r="C134" s="38"/>
      <c r="G134" s="39"/>
    </row>
    <row r="135" spans="3:7">
      <c r="C135" s="38"/>
      <c r="G135" s="39"/>
    </row>
    <row r="136" spans="3:7">
      <c r="C136" s="38"/>
      <c r="G136" s="39"/>
    </row>
    <row r="137" spans="3:7">
      <c r="C137" s="38"/>
      <c r="G137" s="39"/>
    </row>
    <row r="138" spans="3:7">
      <c r="C138" s="38"/>
      <c r="G138" s="39"/>
    </row>
    <row r="139" spans="3:7">
      <c r="C139" s="38"/>
      <c r="G139" s="39"/>
    </row>
    <row r="140" spans="3:7">
      <c r="C140" s="38"/>
      <c r="G140" s="39"/>
    </row>
    <row r="141" spans="3:7">
      <c r="C141" s="38"/>
      <c r="G141" s="39"/>
    </row>
    <row r="142" spans="3:7">
      <c r="C142" s="38"/>
      <c r="G142" s="39"/>
    </row>
    <row r="143" spans="3:7">
      <c r="C143" s="38"/>
      <c r="G143" s="39"/>
    </row>
    <row r="144" spans="3:7">
      <c r="C144" s="38"/>
      <c r="G144" s="39"/>
    </row>
    <row r="145" spans="3:7">
      <c r="C145" s="38"/>
      <c r="G145" s="39"/>
    </row>
    <row r="146" spans="3:7">
      <c r="C146" s="38"/>
      <c r="G146" s="39"/>
    </row>
    <row r="147" spans="3:7">
      <c r="C147" s="38"/>
      <c r="G147" s="39"/>
    </row>
    <row r="148" spans="3:7">
      <c r="C148" s="38"/>
      <c r="G148" s="39"/>
    </row>
    <row r="149" spans="3:7">
      <c r="C149" s="38"/>
      <c r="G149" s="39"/>
    </row>
    <row r="150" spans="3:7">
      <c r="C150" s="38"/>
      <c r="G150" s="39"/>
    </row>
    <row r="151" spans="3:7">
      <c r="C151" s="38"/>
      <c r="G151" s="39"/>
    </row>
    <row r="152" spans="3:7">
      <c r="C152" s="38"/>
      <c r="G152" s="39"/>
    </row>
    <row r="153" spans="3:7">
      <c r="C153" s="38"/>
      <c r="G153" s="39"/>
    </row>
    <row r="154" spans="3:7">
      <c r="C154" s="38"/>
      <c r="G154" s="39"/>
    </row>
    <row r="155" spans="3:7">
      <c r="C155" s="38"/>
      <c r="G155" s="39"/>
    </row>
    <row r="156" spans="3:7">
      <c r="C156" s="38"/>
      <c r="G156" s="39"/>
    </row>
    <row r="157" spans="3:7">
      <c r="C157" s="38"/>
      <c r="G157" s="39"/>
    </row>
    <row r="158" spans="3:7">
      <c r="C158" s="38"/>
      <c r="G158" s="39"/>
    </row>
    <row r="159" spans="3:7">
      <c r="C159" s="38"/>
      <c r="G159" s="39"/>
    </row>
    <row r="160" spans="3:7">
      <c r="C160" s="38"/>
      <c r="G160" s="39"/>
    </row>
    <row r="161" spans="3:7">
      <c r="C161" s="38"/>
      <c r="G161" s="39"/>
    </row>
    <row r="162" spans="3:7">
      <c r="C162" s="38"/>
      <c r="G162" s="39"/>
    </row>
    <row r="163" spans="3:7">
      <c r="C163" s="38"/>
      <c r="G163" s="39"/>
    </row>
    <row r="164" spans="3:7">
      <c r="C164" s="38"/>
      <c r="G164" s="39"/>
    </row>
    <row r="165" spans="3:7">
      <c r="C165" s="38"/>
      <c r="G165" s="39"/>
    </row>
    <row r="166" spans="3:7">
      <c r="C166" s="38"/>
      <c r="G166" s="39"/>
    </row>
    <row r="167" spans="3:7">
      <c r="C167" s="38"/>
      <c r="G167" s="39"/>
    </row>
    <row r="168" spans="3:7">
      <c r="C168" s="38"/>
      <c r="G168" s="39"/>
    </row>
    <row r="169" spans="3:7">
      <c r="C169" s="38"/>
      <c r="G169" s="39"/>
    </row>
    <row r="170" spans="3:7">
      <c r="C170" s="38"/>
      <c r="G170" s="39"/>
    </row>
    <row r="171" spans="3:7">
      <c r="C171" s="38"/>
      <c r="G171" s="39"/>
    </row>
    <row r="172" spans="3:7">
      <c r="C172" s="38"/>
      <c r="G172" s="39"/>
    </row>
    <row r="173" spans="3:7">
      <c r="C173" s="38"/>
      <c r="G173" s="39"/>
    </row>
    <row r="174" spans="3:7">
      <c r="C174" s="38"/>
      <c r="G174" s="39"/>
    </row>
    <row r="175" spans="3:7">
      <c r="C175" s="38"/>
      <c r="G175" s="39"/>
    </row>
    <row r="176" spans="3:7">
      <c r="C176" s="38"/>
      <c r="G176" s="39"/>
    </row>
    <row r="177" spans="3:7">
      <c r="C177" s="38"/>
      <c r="G177" s="39"/>
    </row>
    <row r="178" spans="3:7">
      <c r="C178" s="38"/>
      <c r="G178" s="39"/>
    </row>
    <row r="179" spans="3:7">
      <c r="C179" s="38"/>
      <c r="G179" s="39"/>
    </row>
    <row r="180" spans="3:7">
      <c r="C180" s="38"/>
      <c r="G180" s="39"/>
    </row>
    <row r="181" spans="3:7">
      <c r="C181" s="38"/>
      <c r="G181" s="39"/>
    </row>
    <row r="182" spans="3:7">
      <c r="C182" s="38"/>
      <c r="G182" s="39"/>
    </row>
    <row r="183" spans="3:7">
      <c r="C183" s="38"/>
      <c r="G183" s="39"/>
    </row>
    <row r="184" spans="3:7">
      <c r="C184" s="38"/>
      <c r="G184" s="39"/>
    </row>
    <row r="185" spans="3:7">
      <c r="C185" s="38"/>
      <c r="G185" s="39"/>
    </row>
    <row r="186" spans="3:7">
      <c r="C186" s="38"/>
      <c r="G186" s="39"/>
    </row>
    <row r="187" spans="3:7">
      <c r="C187" s="38"/>
      <c r="G187" s="39"/>
    </row>
    <row r="188" spans="3:7">
      <c r="C188" s="38"/>
      <c r="G188" s="39"/>
    </row>
    <row r="189" spans="3:7">
      <c r="C189" s="38"/>
      <c r="G189" s="39"/>
    </row>
    <row r="190" spans="3:7">
      <c r="C190" s="38"/>
      <c r="G190" s="39"/>
    </row>
    <row r="191" spans="3:7">
      <c r="C191" s="38"/>
      <c r="G191" s="39"/>
    </row>
    <row r="192" spans="3:7">
      <c r="C192" s="38"/>
      <c r="G192" s="39"/>
    </row>
    <row r="193" spans="3:7">
      <c r="C193" s="38"/>
      <c r="G193" s="39"/>
    </row>
    <row r="194" spans="3:7">
      <c r="C194" s="38"/>
      <c r="G194" s="39"/>
    </row>
    <row r="195" spans="3:7">
      <c r="C195" s="38"/>
      <c r="G195" s="39"/>
    </row>
    <row r="196" spans="3:7">
      <c r="C196" s="38"/>
      <c r="G196" s="39"/>
    </row>
    <row r="197" spans="3:7">
      <c r="C197" s="38"/>
      <c r="G197" s="39"/>
    </row>
    <row r="198" spans="3:7">
      <c r="C198" s="38"/>
      <c r="G198" s="39"/>
    </row>
    <row r="199" spans="3:7">
      <c r="C199" s="38"/>
      <c r="G199" s="39"/>
    </row>
    <row r="200" spans="3:7">
      <c r="C200" s="38"/>
      <c r="G200" s="39"/>
    </row>
    <row r="201" spans="3:7">
      <c r="C201" s="38"/>
      <c r="G201" s="39"/>
    </row>
    <row r="202" spans="3:7">
      <c r="C202" s="38"/>
      <c r="G202" s="39"/>
    </row>
    <row r="203" spans="3:7">
      <c r="C203" s="38"/>
      <c r="G203" s="39"/>
    </row>
    <row r="204" spans="3:7">
      <c r="C204" s="38"/>
      <c r="G204" s="39"/>
    </row>
    <row r="205" spans="3:7">
      <c r="C205" s="38"/>
      <c r="G205" s="39"/>
    </row>
    <row r="206" spans="3:7">
      <c r="C206" s="38"/>
      <c r="G206" s="39"/>
    </row>
    <row r="207" spans="3:7">
      <c r="C207" s="38"/>
      <c r="G207" s="39"/>
    </row>
    <row r="208" spans="3:7">
      <c r="C208" s="38"/>
      <c r="G208" s="39"/>
    </row>
    <row r="209" spans="3:7">
      <c r="C209" s="38"/>
      <c r="G209" s="39"/>
    </row>
    <row r="210" spans="3:7">
      <c r="C210" s="38"/>
      <c r="G210" s="39"/>
    </row>
    <row r="211" spans="3:7">
      <c r="C211" s="38"/>
      <c r="G211" s="39"/>
    </row>
    <row r="212" spans="3:7">
      <c r="C212" s="38"/>
      <c r="G212" s="39"/>
    </row>
    <row r="213" spans="3:7">
      <c r="C213" s="38"/>
      <c r="G213" s="39"/>
    </row>
    <row r="214" spans="3:7">
      <c r="C214" s="38"/>
      <c r="G214" s="39"/>
    </row>
    <row r="215" spans="3:7">
      <c r="C215" s="38"/>
      <c r="G215" s="39"/>
    </row>
    <row r="216" spans="3:7">
      <c r="C216" s="38"/>
      <c r="G216" s="39"/>
    </row>
    <row r="217" spans="3:7">
      <c r="C217" s="38"/>
      <c r="G217" s="39"/>
    </row>
    <row r="218" spans="3:7">
      <c r="C218" s="38"/>
      <c r="G218" s="39"/>
    </row>
    <row r="219" spans="3:7">
      <c r="C219" s="38"/>
      <c r="G219" s="39"/>
    </row>
    <row r="220" spans="3:7">
      <c r="C220" s="38"/>
      <c r="G220" s="39"/>
    </row>
    <row r="221" spans="3:7">
      <c r="C221" s="38"/>
      <c r="G221" s="39"/>
    </row>
    <row r="222" spans="3:7">
      <c r="C222" s="38"/>
      <c r="G222" s="39"/>
    </row>
    <row r="223" spans="3:7">
      <c r="C223" s="38"/>
      <c r="G223" s="39"/>
    </row>
    <row r="224" spans="3:7">
      <c r="C224" s="38"/>
      <c r="G224" s="39"/>
    </row>
    <row r="225" spans="3:7">
      <c r="C225" s="38"/>
      <c r="G225" s="39"/>
    </row>
    <row r="226" spans="3:7">
      <c r="C226" s="38"/>
      <c r="G226" s="39"/>
    </row>
    <row r="227" spans="3:7">
      <c r="C227" s="38"/>
      <c r="G227" s="39"/>
    </row>
    <row r="228" spans="3:7">
      <c r="C228" s="38"/>
      <c r="G228" s="39"/>
    </row>
    <row r="229" spans="3:7">
      <c r="C229" s="38"/>
      <c r="G229" s="39"/>
    </row>
    <row r="230" spans="3:7">
      <c r="C230" s="38"/>
      <c r="G230" s="39"/>
    </row>
    <row r="231" spans="3:7">
      <c r="C231" s="38"/>
      <c r="G231" s="39"/>
    </row>
    <row r="232" spans="3:7">
      <c r="C232" s="38"/>
      <c r="G232" s="39"/>
    </row>
    <row r="233" spans="3:7">
      <c r="C233" s="38"/>
      <c r="G233" s="39"/>
    </row>
    <row r="234" spans="3:7">
      <c r="C234" s="38"/>
      <c r="G234" s="39"/>
    </row>
    <row r="235" spans="3:7">
      <c r="C235" s="38"/>
      <c r="G235" s="39"/>
    </row>
    <row r="236" spans="3:7">
      <c r="C236" s="38"/>
      <c r="G236" s="39"/>
    </row>
    <row r="237" spans="3:7">
      <c r="C237" s="38"/>
      <c r="G237" s="39"/>
    </row>
    <row r="238" spans="3:7">
      <c r="C238" s="38"/>
      <c r="G238" s="39"/>
    </row>
    <row r="239" spans="3:7">
      <c r="C239" s="38"/>
      <c r="G239" s="39"/>
    </row>
    <row r="240" spans="3:7">
      <c r="C240" s="38"/>
      <c r="G240" s="39"/>
    </row>
    <row r="241" spans="3:7">
      <c r="C241" s="38"/>
      <c r="G241" s="39"/>
    </row>
    <row r="242" spans="3:7">
      <c r="C242" s="38"/>
      <c r="G242" s="39"/>
    </row>
    <row r="243" spans="3:7">
      <c r="C243" s="38"/>
      <c r="G243" s="3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B4F0-0795-4782-A0FC-316AB3620A55}">
  <dimension ref="A1:E13"/>
  <sheetViews>
    <sheetView workbookViewId="0">
      <selection activeCell="C2" sqref="C2:C6"/>
    </sheetView>
  </sheetViews>
  <sheetFormatPr defaultRowHeight="15"/>
  <cols>
    <col min="1" max="1" width="11.140625" style="38" bestFit="1" customWidth="1"/>
    <col min="2" max="2" width="25.5703125" customWidth="1"/>
    <col min="3" max="3" width="28.42578125" customWidth="1"/>
  </cols>
  <sheetData>
    <row r="1" spans="1:5">
      <c r="A1" s="38" t="s">
        <v>46</v>
      </c>
      <c r="B1" t="s">
        <v>216</v>
      </c>
      <c r="C1" t="s">
        <v>217</v>
      </c>
    </row>
    <row r="2" spans="1:5">
      <c r="A2" s="38">
        <v>45238</v>
      </c>
      <c r="C2">
        <v>30000</v>
      </c>
    </row>
    <row r="3" spans="1:5">
      <c r="A3" s="38">
        <v>45372</v>
      </c>
      <c r="C3">
        <v>15000</v>
      </c>
    </row>
    <row r="4" spans="1:5">
      <c r="A4" s="38">
        <v>45026</v>
      </c>
      <c r="C4">
        <v>6000</v>
      </c>
    </row>
    <row r="5" spans="1:5">
      <c r="A5" s="38">
        <v>45083</v>
      </c>
      <c r="C5">
        <v>3000</v>
      </c>
    </row>
    <row r="6" spans="1:5">
      <c r="A6" s="38">
        <v>45783</v>
      </c>
      <c r="C6">
        <v>150000</v>
      </c>
      <c r="D6" t="s">
        <v>218</v>
      </c>
    </row>
    <row r="7" spans="1:5">
      <c r="D7">
        <v>15</v>
      </c>
    </row>
    <row r="8" spans="1:5">
      <c r="D8">
        <v>70</v>
      </c>
    </row>
    <row r="9" spans="1:5">
      <c r="D9">
        <v>25</v>
      </c>
    </row>
    <row r="10" spans="1:5">
      <c r="D10">
        <v>50</v>
      </c>
    </row>
    <row r="11" spans="1:5">
      <c r="D11">
        <v>9</v>
      </c>
    </row>
    <row r="12" spans="1:5">
      <c r="D12">
        <v>169</v>
      </c>
      <c r="E12">
        <v>15</v>
      </c>
    </row>
    <row r="13" spans="1:5">
      <c r="D13">
        <f>D12-19</f>
        <v>150</v>
      </c>
      <c r="E13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7851C-A27C-4F63-9593-9943DA3A75FF}">
  <dimension ref="A1:C16"/>
  <sheetViews>
    <sheetView workbookViewId="0">
      <selection activeCell="B16" sqref="B16"/>
    </sheetView>
  </sheetViews>
  <sheetFormatPr defaultRowHeight="15"/>
  <cols>
    <col min="1" max="1" width="20.5703125" bestFit="1" customWidth="1"/>
    <col min="2" max="2" width="44" customWidth="1"/>
    <col min="3" max="3" width="59.140625" customWidth="1"/>
  </cols>
  <sheetData>
    <row r="1" spans="1:3">
      <c r="A1" t="s">
        <v>219</v>
      </c>
      <c r="B1" t="s">
        <v>48</v>
      </c>
    </row>
    <row r="2" spans="1:3">
      <c r="A2" t="s">
        <v>220</v>
      </c>
      <c r="B2">
        <v>1275</v>
      </c>
      <c r="C2" t="s">
        <v>221</v>
      </c>
    </row>
    <row r="3" spans="1:3">
      <c r="A3" t="s">
        <v>222</v>
      </c>
      <c r="B3">
        <v>400</v>
      </c>
      <c r="C3" t="s">
        <v>223</v>
      </c>
    </row>
    <row r="4" spans="1:3">
      <c r="A4" t="s">
        <v>224</v>
      </c>
      <c r="B4">
        <v>2500</v>
      </c>
    </row>
    <row r="5" spans="1:3">
      <c r="A5" t="s">
        <v>225</v>
      </c>
      <c r="B5">
        <v>7000</v>
      </c>
    </row>
    <row r="6" spans="1:3">
      <c r="A6" t="s">
        <v>226</v>
      </c>
      <c r="B6">
        <v>4500</v>
      </c>
    </row>
    <row r="7" spans="1:3">
      <c r="A7" t="s">
        <v>227</v>
      </c>
      <c r="B7">
        <v>5500</v>
      </c>
    </row>
    <row r="8" spans="1:3">
      <c r="A8" t="s">
        <v>228</v>
      </c>
      <c r="B8">
        <v>6600</v>
      </c>
    </row>
    <row r="9" spans="1:3">
      <c r="A9" t="s">
        <v>229</v>
      </c>
      <c r="B9">
        <v>9200</v>
      </c>
      <c r="C9" t="s">
        <v>230</v>
      </c>
    </row>
    <row r="10" spans="1:3">
      <c r="A10" t="s">
        <v>40</v>
      </c>
      <c r="B10">
        <v>10200</v>
      </c>
      <c r="C10" t="s">
        <v>231</v>
      </c>
    </row>
    <row r="11" spans="1:3">
      <c r="A11" t="s">
        <v>232</v>
      </c>
      <c r="B11">
        <v>24000</v>
      </c>
    </row>
    <row r="12" spans="1:3">
      <c r="A12" t="s">
        <v>233</v>
      </c>
      <c r="B12">
        <v>8000</v>
      </c>
      <c r="C12" t="s">
        <v>234</v>
      </c>
    </row>
    <row r="13" spans="1:3">
      <c r="A13" t="s">
        <v>235</v>
      </c>
      <c r="B13">
        <v>0</v>
      </c>
      <c r="C13" t="s">
        <v>236</v>
      </c>
    </row>
    <row r="14" spans="1:3">
      <c r="A14" t="s">
        <v>237</v>
      </c>
      <c r="B14">
        <v>800</v>
      </c>
    </row>
    <row r="15" spans="1:3">
      <c r="A15" t="s">
        <v>238</v>
      </c>
      <c r="B15">
        <v>2000</v>
      </c>
    </row>
    <row r="16" spans="1:3">
      <c r="A16" t="s">
        <v>239</v>
      </c>
      <c r="B16">
        <v>5000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D4F15-CCF4-438D-A061-A421118A0A3E}">
  <dimension ref="A1:C5"/>
  <sheetViews>
    <sheetView workbookViewId="0">
      <selection activeCell="E19" sqref="E19"/>
    </sheetView>
  </sheetViews>
  <sheetFormatPr defaultRowHeight="15"/>
  <cols>
    <col min="1" max="1" width="11.140625" bestFit="1" customWidth="1"/>
  </cols>
  <sheetData>
    <row r="1" spans="1:3">
      <c r="A1" s="38" t="s">
        <v>46</v>
      </c>
      <c r="B1" t="s">
        <v>216</v>
      </c>
      <c r="C1" t="s">
        <v>217</v>
      </c>
    </row>
    <row r="2" spans="1:3">
      <c r="A2" s="38">
        <v>45763</v>
      </c>
      <c r="B2">
        <v>150000</v>
      </c>
    </row>
    <row r="3" spans="1:3">
      <c r="A3" s="38">
        <v>45784</v>
      </c>
      <c r="C3">
        <v>70000</v>
      </c>
    </row>
    <row r="4" spans="1:3">
      <c r="A4" s="38">
        <v>45785</v>
      </c>
      <c r="C4">
        <v>84000</v>
      </c>
    </row>
    <row r="5" spans="1:3">
      <c r="A5" s="3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87D0-A213-43DE-A56D-8DDDEABDFBC8}">
  <dimension ref="A1:E8"/>
  <sheetViews>
    <sheetView workbookViewId="0">
      <selection activeCell="C7" sqref="C7"/>
    </sheetView>
  </sheetViews>
  <sheetFormatPr defaultRowHeight="15"/>
  <cols>
    <col min="1" max="1" width="5.85546875" bestFit="1" customWidth="1"/>
    <col min="2" max="2" width="69.85546875" customWidth="1"/>
    <col min="3" max="3" width="7.85546875" bestFit="1" customWidth="1"/>
    <col min="4" max="4" width="10.28515625" bestFit="1" customWidth="1"/>
    <col min="5" max="5" width="10.85546875" style="14" bestFit="1" customWidth="1"/>
  </cols>
  <sheetData>
    <row r="1" spans="1:5">
      <c r="A1" s="3" t="s">
        <v>240</v>
      </c>
      <c r="B1" s="3" t="s">
        <v>47</v>
      </c>
      <c r="C1" s="3" t="s">
        <v>48</v>
      </c>
      <c r="D1" s="3" t="s">
        <v>201</v>
      </c>
      <c r="E1" s="33" t="s">
        <v>46</v>
      </c>
    </row>
    <row r="2" spans="1:5">
      <c r="A2">
        <v>1</v>
      </c>
      <c r="B2" t="s">
        <v>241</v>
      </c>
      <c r="C2">
        <v>64500</v>
      </c>
      <c r="D2" t="s">
        <v>242</v>
      </c>
      <c r="E2" s="14">
        <v>45954</v>
      </c>
    </row>
    <row r="3" spans="1:5">
      <c r="A3">
        <v>2</v>
      </c>
      <c r="B3" t="s">
        <v>243</v>
      </c>
      <c r="C3">
        <v>6000</v>
      </c>
      <c r="D3" t="s">
        <v>26</v>
      </c>
    </row>
    <row r="4" spans="1:5">
      <c r="A4">
        <v>3</v>
      </c>
      <c r="B4" t="s">
        <v>244</v>
      </c>
      <c r="C4">
        <v>10000</v>
      </c>
      <c r="D4" t="s">
        <v>242</v>
      </c>
      <c r="E4" s="14">
        <v>45952</v>
      </c>
    </row>
    <row r="5" spans="1:5">
      <c r="A5">
        <v>4</v>
      </c>
      <c r="B5" s="40" t="s">
        <v>245</v>
      </c>
      <c r="C5">
        <v>14000</v>
      </c>
      <c r="D5" t="s">
        <v>26</v>
      </c>
    </row>
    <row r="6" spans="1:5" ht="27.75">
      <c r="A6">
        <v>5</v>
      </c>
      <c r="B6" s="41" t="s">
        <v>246</v>
      </c>
      <c r="C6">
        <v>8000</v>
      </c>
      <c r="D6" t="s">
        <v>26</v>
      </c>
    </row>
    <row r="7" spans="1:5">
      <c r="B7" t="s">
        <v>247</v>
      </c>
      <c r="C7">
        <f>SUM(C2:C6)</f>
        <v>102500</v>
      </c>
    </row>
    <row r="8" spans="1:5">
      <c r="B8" t="s">
        <v>248</v>
      </c>
      <c r="C8" s="3">
        <f>C7/24</f>
        <v>4270.833333333333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6CF6A-CB45-48EE-AB50-3C9E0AA683E9}">
  <dimension ref="A1:D2"/>
  <sheetViews>
    <sheetView workbookViewId="0">
      <selection activeCell="C3" sqref="C3"/>
    </sheetView>
  </sheetViews>
  <sheetFormatPr defaultRowHeight="15"/>
  <cols>
    <col min="1" max="1" width="9.140625" style="46"/>
  </cols>
  <sheetData>
    <row r="1" spans="1:4">
      <c r="A1" s="46" t="s">
        <v>46</v>
      </c>
      <c r="B1" t="s">
        <v>249</v>
      </c>
      <c r="C1" t="s">
        <v>250</v>
      </c>
      <c r="D1" t="s">
        <v>9</v>
      </c>
    </row>
    <row r="2" spans="1:4">
      <c r="A2" s="46">
        <v>46058</v>
      </c>
      <c r="C2">
        <v>39000</v>
      </c>
      <c r="D2" t="s">
        <v>251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1832-FBC9-4ADD-B9E9-49270EDE17D4}">
  <dimension ref="A1:E8"/>
  <sheetViews>
    <sheetView workbookViewId="0">
      <selection activeCell="A9" sqref="A9"/>
    </sheetView>
  </sheetViews>
  <sheetFormatPr defaultRowHeight="15"/>
  <cols>
    <col min="1" max="1" width="11.140625" style="14" bestFit="1" customWidth="1"/>
    <col min="2" max="2" width="22.85546875" customWidth="1"/>
    <col min="4" max="4" width="17.140625" customWidth="1"/>
  </cols>
  <sheetData>
    <row r="1" spans="1:5">
      <c r="A1" s="14" t="s">
        <v>46</v>
      </c>
      <c r="B1" t="s">
        <v>250</v>
      </c>
      <c r="C1" t="s">
        <v>249</v>
      </c>
      <c r="D1" t="s">
        <v>252</v>
      </c>
      <c r="E1" t="s">
        <v>253</v>
      </c>
    </row>
    <row r="2" spans="1:5">
      <c r="A2" s="14">
        <v>46074</v>
      </c>
      <c r="B2">
        <v>110000</v>
      </c>
      <c r="D2" t="s">
        <v>254</v>
      </c>
      <c r="E2" t="s">
        <v>255</v>
      </c>
    </row>
    <row r="3" spans="1:5">
      <c r="A3" s="14">
        <v>46074</v>
      </c>
      <c r="C3">
        <v>130000</v>
      </c>
      <c r="D3" t="s">
        <v>256</v>
      </c>
      <c r="E3" t="s">
        <v>257</v>
      </c>
    </row>
    <row r="4" spans="1:5">
      <c r="A4" s="14">
        <v>46079</v>
      </c>
      <c r="C4">
        <v>1500</v>
      </c>
      <c r="D4" t="s">
        <v>258</v>
      </c>
      <c r="E4" t="s">
        <v>259</v>
      </c>
    </row>
    <row r="5" spans="1:5">
      <c r="A5" s="14">
        <v>46086</v>
      </c>
      <c r="B5">
        <v>68000</v>
      </c>
      <c r="D5" t="s">
        <v>260</v>
      </c>
      <c r="E5" s="15" t="s">
        <v>261</v>
      </c>
    </row>
    <row r="6" spans="1:5">
      <c r="A6" s="14">
        <v>46087</v>
      </c>
      <c r="C6">
        <v>15000</v>
      </c>
      <c r="D6" t="s">
        <v>262</v>
      </c>
      <c r="E6" t="s">
        <v>263</v>
      </c>
    </row>
    <row r="7" spans="1:5">
      <c r="A7" s="14">
        <v>46097</v>
      </c>
      <c r="C7">
        <v>10000</v>
      </c>
      <c r="D7" t="s">
        <v>264</v>
      </c>
      <c r="E7" t="s">
        <v>263</v>
      </c>
    </row>
    <row r="8" spans="1:5">
      <c r="A8" s="14">
        <v>46213</v>
      </c>
      <c r="C8">
        <v>18200</v>
      </c>
      <c r="D8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Raghavendra R S</cp:lastModifiedBy>
  <cp:revision/>
  <dcterms:created xsi:type="dcterms:W3CDTF">2024-08-02T18:16:37Z</dcterms:created>
  <dcterms:modified xsi:type="dcterms:W3CDTF">2026-07-12T17:03:51Z</dcterms:modified>
  <cp:category/>
  <cp:contentStatus/>
</cp:coreProperties>
</file>